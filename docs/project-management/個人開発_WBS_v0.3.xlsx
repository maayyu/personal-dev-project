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da2420847741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BS" sheetId="1" r:id="Rbeb61b3003604d98"/>
    <x:sheet xmlns:r="http://schemas.openxmlformats.org/officeDocument/2006/relationships" name="サマリ" sheetId="2" r:id="R7fb9657fc4b84da2"/>
    <x:sheet xmlns:r="http://schemas.openxmlformats.org/officeDocument/2006/relationships" name="マスタ" sheetId="3" r:id="Rae0b9866aae64b0f"/>
    <x:sheet xmlns:r="http://schemas.openxmlformats.org/officeDocument/2006/relationships" name="Phase8_Wave" sheetId="4" r:id="Rc4f48e7ee7f74a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yyyy-mm-dd"/>
    <x:numFmt numFmtId="202" formatCode="0%"/>
    <x:numFmt numFmtId="203" formatCode="0.00"/>
  </x:numFmts>
  <x:fonts count="10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9"/>
      <x:color rgb="FFFFFFFF"/>
      <x:name val="Carlito"/>
    </x:font>
    <x:font>
      <x:sz val="9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0"/>
      <x:name val="Carlito"/>
    </x:font>
    <x:font>
      <x:b/>
      <x:sz val="14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wrapText="1"/>
    </x:xf>
    <x:xf numFmtId="202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vertical="center" wrapText="1"/>
    </x:xf>
    <x:xf numFmtId="202" fontId="5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203" fontId="5" fillId="0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8" fillId="3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wrapText="1"/>
    </x:xf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8" fillId="3" borderId="0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9" fillId="5" borderId="0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8" borderId="0" xfId="0" applyNumberFormat="1" applyFont="1" applyFill="1" applyBorder="1" applyAlignment="1">
      <x:alignment vertical="center" wrapText="1"/>
    </x:xf>
    <x:xf numFmtId="0" fontId="7" fillId="0" xfId="0" applyNumberFormat="1" applyFont="1" applyFill="1" applyBorder="0" applyAlignment="1">
      <x:alignment vertical="center" wrapText="1"/>
    </x:xf>
    <x:xf numFmtId="203" fontId="7" fillId="7" borderId="0" xfId="0" applyNumberFormat="1" applyFont="1" applyFill="1" applyBorder="1" applyAlignment="1">
      <x:alignment vertical="center" wrapText="1"/>
    </x:xf>
    <x:xf numFmtId="203" fontId="7" fillId="8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horizontal="center" wrapText="1"/>
    </x:xf>
    <x:xf numFmtId="0" fontId="7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center" wrapText="1"/>
    </x:xf>
    <x:xf numFmtId="203" fontId="7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666666"/>
      </x:font>
      <x:fill>
        <x:patternFill>
          <x:bgColor rgb="FFEDEDED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38761D"/>
      </x:font>
    </x:dxf>
    <x:dxf>
      <x:font>
        <x:b/>
        <x:color rgb="FF38761D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49ff1dc6dc4a42" /><Relationship Type="http://schemas.openxmlformats.org/officeDocument/2006/relationships/theme" Target="/xl/theme/theme1.xml" Id="Rd0b40b9d0a394018" /><Relationship Type="http://schemas.openxmlformats.org/officeDocument/2006/relationships/sharedStrings" Target="/xl/sharedStrings.xml" Id="Rf2c7966a7e864fde" /><Relationship Type="http://schemas.openxmlformats.org/officeDocument/2006/relationships/worksheet" Target="/xl/worksheets/sheet1.xml" Id="Rbeb61b3003604d98" /><Relationship Type="http://schemas.openxmlformats.org/officeDocument/2006/relationships/worksheet" Target="/xl/worksheets/sheet2.xml" Id="R7fb9657fc4b84da2" /><Relationship Type="http://schemas.openxmlformats.org/officeDocument/2006/relationships/worksheet" Target="/xl/worksheets/sheet3.xml" Id="Rae0b9866aae64b0f" /><Relationship Type="http://schemas.openxmlformats.org/officeDocument/2006/relationships/worksheet" Target="/xl/worksheets/sheet4.xml" Id="Rc4f48e7ee7f74a6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6cd66289be94bd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Phase別 予定作業日数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予定作業日数</c:v>
          </c:tx>
          <c:cat>
            <c:strRef>
              <c:f>'サマリ'!$A$11:$A$24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'サマリ'!$F$11:$F$24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6cd66289be94bd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WBSTable" displayName="WBSTable" ref="A1:W206" headerRowCount="1" totalsRowCount="0" totalsRowShown="0">
  <x:autoFilter ref="A1:W206"/>
  <x:tableColumns count="23">
    <x:tableColumn id="1" name="WBS ID"/>
    <x:tableColumn id="2" name="Phase"/>
    <x:tableColumn id="3" name="工程"/>
    <x:tableColumn id="4" name="区分"/>
    <x:tableColumn id="5" name="大分類"/>
    <x:tableColumn id="6" name="タスク名"/>
    <x:tableColumn id="7" name="内容"/>
    <x:tableColumn id="8" name="状態"/>
    <x:tableColumn id="9" name="優先度"/>
    <x:tableColumn id="10" name="担当"/>
    <x:tableColumn id="11" name="想定作業日数"/>
    <x:tableColumn id="12" name="計画開始日"/>
    <x:tableColumn id="13" name="計画終了日"/>
    <x:tableColumn id="14" name="実績開始日"/>
    <x:tableColumn id="15" name="実績終了日"/>
    <x:tableColumn id="16" name="進捗率"/>
    <x:tableColumn id="17" name="前提WBS"/>
    <x:tableColumn id="18" name="成果物"/>
    <x:tableColumn id="19" name="完了条件"/>
    <x:tableColumn id="20" name="備考"/>
    <x:tableColumn id="21" name="Wave"/>
    <x:tableColumn id="22" name="Task/Milestone"/>
    <x:tableColumn id="23" name="見積単位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hase8WaveTable" displayName="Phase8WaveTable" ref="A3:H17" headerRowCount="1" totalsRowCount="0" totalsRowShown="0">
  <x:tableColumns count="8">
    <x:tableColumn id="1" name="Wave"/>
    <x:tableColumn id="2" name="目的"/>
    <x:tableColumn id="3" name="前提"/>
    <x:tableColumn id="4" name="Task数"/>
    <x:tableColumn id="5" name="想定作業日数"/>
    <x:tableColumn id="6" name="Milestone"/>
    <x:tableColumn id="7" name="実装記録"/>
    <x:tableColumn id="8" name="状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abfa046a154c5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ad033503110542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133c8302a2e346d3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5" hidden="0" customWidth="1"/>
    <x:col min="4" max="4" width="9" hidden="0" customWidth="1"/>
    <x:col min="5" max="5" width="14" hidden="0" customWidth="1"/>
    <x:col min="6" max="6" width="26" hidden="0" customWidth="1"/>
    <x:col min="7" max="7" width="42" hidden="0" customWidth="1"/>
    <x:col min="8" max="8" width="10" hidden="0" customWidth="1"/>
    <x:col min="9" max="9" width="9" hidden="0" customWidth="1"/>
    <x:col min="10" max="10" width="16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9" hidden="0" customWidth="1"/>
    <x:col min="17" max="17" width="18" hidden="0" customWidth="1"/>
    <x:col min="18" max="18" width="34" hidden="0" customWidth="1"/>
    <x:col min="19" max="19" width="36" hidden="0" customWidth="1"/>
    <x:col min="20" max="20" width="28" hidden="0" customWidth="1"/>
    <x:col min="21" max="21" width="11" hidden="0" customWidth="1"/>
    <x:col min="22" max="22" width="14" hidden="0" customWidth="1"/>
    <x:col min="23" max="23" width="11" hidden="0" customWidth="1"/>
  </x:cols>
  <x:sheetData>
    <x:row r="1" ht="15" hidden="0" customHeight="1">
      <x:c r="A1" s="60" t="str">
        <x:v>WBS ID</x:v>
      </x:c>
      <x:c r="B1" s="60" t="str">
        <x:v>Phase</x:v>
      </x:c>
      <x:c r="C1" s="60" t="str">
        <x:v>工程</x:v>
      </x:c>
      <x:c r="D1" s="60" t="str">
        <x:v>区分</x:v>
      </x:c>
      <x:c r="E1" s="60" t="str">
        <x:v>大分類</x:v>
      </x:c>
      <x:c r="F1" s="60" t="str">
        <x:v>タスク名</x:v>
      </x:c>
      <x:c r="G1" s="60" t="str">
        <x:v>内容</x:v>
      </x:c>
      <x:c r="H1" s="60" t="str">
        <x:v>状態</x:v>
      </x:c>
      <x:c r="I1" s="60" t="str">
        <x:v>優先度</x:v>
      </x:c>
      <x:c r="J1" s="60" t="str">
        <x:v>担当</x:v>
      </x:c>
      <x:c r="K1" s="60" t="str">
        <x:v>想定作業日数</x:v>
      </x:c>
      <x:c r="L1" s="60" t="str">
        <x:v>計画開始日</x:v>
      </x:c>
      <x:c r="M1" s="60" t="str">
        <x:v>計画終了日</x:v>
      </x:c>
      <x:c r="N1" s="60" t="str">
        <x:v>実績開始日</x:v>
      </x:c>
      <x:c r="O1" s="60" t="str">
        <x:v>実績終了日</x:v>
      </x:c>
      <x:c r="P1" s="60" t="str">
        <x:v>進捗率</x:v>
      </x:c>
      <x:c r="Q1" s="60" t="str">
        <x:v>前提WBS</x:v>
      </x:c>
      <x:c r="R1" s="60" t="str">
        <x:v>成果物</x:v>
      </x:c>
      <x:c r="S1" s="60" t="str">
        <x:v>完了条件</x:v>
      </x:c>
      <x:c r="T1" s="60" t="str">
        <x:v>備考</x:v>
      </x:c>
      <x:c r="U1" s="60" t="str">
        <x:v>Wave</x:v>
      </x:c>
      <x:c r="V1" s="60" t="str">
        <x:v>Task/Milestone</x:v>
      </x:c>
      <x:c r="W1" s="60" t="str">
        <x:v>見積単位</x:v>
      </x:c>
    </x:row>
    <x:row r="2" ht="21.600000381469727" hidden="0" customHeight="1">
      <x:c r="A2" s="55" t="str">
        <x:v>0-1</x:v>
      </x:c>
      <x:c r="B2" s="55" t="str">
        <x:v>Phase 0</x:v>
      </x:c>
      <x:c r="C2" s="55" t="str">
        <x:v>プロジェクト準備</x:v>
      </x:c>
      <x:c r="D2" s="55" t="str">
        <x:v>実績</x:v>
      </x:c>
      <x:c r="E2" s="55" t="str">
        <x:v>方針</x:v>
      </x:c>
      <x:c r="F2" s="55" t="str">
        <x:v>開発目的整理</x:v>
      </x:c>
      <x:c r="G2" s="55" t="str">
        <x:v>実務で不足している新規開発・設計・実装・テスト・CI/CD・AWS等の経験を個人開発で補う目的を整理</x:v>
      </x:c>
      <x:c r="H2" s="55" t="str">
        <x:v>完了</x:v>
      </x:c>
      <x:c r="I2" s="55" t="str">
        <x:v>High</x:v>
      </x:c>
      <x:c r="J2" s="55" t="str">
        <x:v>PO + AI支援</x:v>
      </x:c>
      <x:c r="K2" s="62"/>
      <x:c r="L2" s="57"/>
      <x:c r="M2" s="57"/>
      <x:c r="N2" s="57"/>
      <x:c r="O2" s="57"/>
      <x:c r="P2" s="58" t="n">
        <x:v>1</x:v>
      </x:c>
      <x:c r="Q2" s="55"/>
      <x:c r="R2" s="55" t="str">
        <x:v>プロジェクト方針</x:v>
      </x:c>
      <x:c r="S2" s="55" t="str">
        <x:v>開発目的が明文化されている</x:v>
      </x:c>
      <x:c r="T2" s="55"/>
      <x:c r="U2" s="55"/>
      <x:c r="V2" s="55" t="str">
        <x:v>Task</x:v>
      </x:c>
      <x:c r="W2" s="55" t="str"/>
    </x:row>
    <x:row r="3" ht="15" hidden="0" customHeight="1">
      <x:c r="A3" s="55" t="str">
        <x:v>0-2</x:v>
      </x:c>
      <x:c r="B3" s="55" t="str">
        <x:v>Phase 0</x:v>
      </x:c>
      <x:c r="C3" s="55" t="str">
        <x:v>プロジェクト準備</x:v>
      </x:c>
      <x:c r="D3" s="55" t="str">
        <x:v>実績</x:v>
      </x:c>
      <x:c r="E3" s="55" t="str">
        <x:v>体制</x:v>
      </x:c>
      <x:c r="F3" s="55" t="str">
        <x:v>AI開発体制整理</x:v>
      </x:c>
      <x:c r="G3" s="55" t="str">
        <x:v>ChatGPT / Claude / Gemini / Copilotの役割を整理</x:v>
      </x:c>
      <x:c r="H3" s="55" t="str">
        <x:v>完了</x:v>
      </x:c>
      <x:c r="I3" s="55" t="str">
        <x:v>High</x:v>
      </x:c>
      <x:c r="J3" s="55" t="str">
        <x:v>PO + AI支援</x:v>
      </x:c>
      <x:c r="K3" s="62"/>
      <x:c r="L3" s="57"/>
      <x:c r="M3" s="57"/>
      <x:c r="N3" s="57"/>
      <x:c r="O3" s="57"/>
      <x:c r="P3" s="58" t="n">
        <x:v>1</x:v>
      </x:c>
      <x:c r="Q3" s="55" t="str">
        <x:v>0-1</x:v>
      </x:c>
      <x:c r="R3" s="55" t="str">
        <x:v>AI役割分担</x:v>
      </x:c>
      <x:c r="S3" s="55" t="str">
        <x:v>各AIの担当領域が明確</x:v>
      </x:c>
      <x:c r="T3" s="55"/>
      <x:c r="U3" s="55"/>
      <x:c r="V3" s="55" t="str">
        <x:v>Task</x:v>
      </x:c>
      <x:c r="W3" s="55" t="str"/>
    </x:row>
    <x:row r="4" ht="15" hidden="0" customHeight="1">
      <x:c r="A4" s="55" t="str">
        <x:v>0-3</x:v>
      </x:c>
      <x:c r="B4" s="55" t="str">
        <x:v>Phase 0</x:v>
      </x:c>
      <x:c r="C4" s="55" t="str">
        <x:v>プロジェクト準備</x:v>
      </x:c>
      <x:c r="D4" s="55" t="str">
        <x:v>実績</x:v>
      </x:c>
      <x:c r="E4" s="55" t="str">
        <x:v>計画</x:v>
      </x:c>
      <x:c r="F4" s="55" t="str">
        <x:v>開発プロセス策定</x:v>
      </x:c>
      <x:c r="G4" s="55" t="str">
        <x:v>企画からリリース・振り返りまでのPhase構成を整理</x:v>
      </x:c>
      <x:c r="H4" s="55" t="str">
        <x:v>完了</x:v>
      </x:c>
      <x:c r="I4" s="55" t="str">
        <x:v>High</x:v>
      </x:c>
      <x:c r="J4" s="55" t="str">
        <x:v>PO + AI支援</x:v>
      </x:c>
      <x:c r="K4" s="62"/>
      <x:c r="L4" s="57"/>
      <x:c r="M4" s="57"/>
      <x:c r="N4" s="57"/>
      <x:c r="O4" s="57"/>
      <x:c r="P4" s="58" t="n">
        <x:v>1</x:v>
      </x:c>
      <x:c r="Q4" s="55" t="str">
        <x:v>0-1,0-2</x:v>
      </x:c>
      <x:c r="R4" s="55" t="str">
        <x:v>開発工程</x:v>
      </x:c>
      <x:c r="S4" s="55" t="str">
        <x:v>Phase構成が確定</x:v>
      </x:c>
      <x:c r="T4" s="55"/>
      <x:c r="U4" s="55"/>
      <x:c r="V4" s="55" t="str">
        <x:v>Task</x:v>
      </x:c>
      <x:c r="W4" s="55" t="str"/>
    </x:row>
    <x:row r="5" ht="15" hidden="0" customHeight="1">
      <x:c r="A5" s="55" t="str">
        <x:v>1-1</x:v>
      </x:c>
      <x:c r="B5" s="55" t="str">
        <x:v>Phase 1</x:v>
      </x:c>
      <x:c r="C5" s="55" t="str">
        <x:v>開発環境構築</x:v>
      </x:c>
      <x:c r="D5" s="55" t="str">
        <x:v>実績</x:v>
      </x:c>
      <x:c r="E5" s="55" t="str">
        <x:v>環境確認</x:v>
      </x:c>
      <x:c r="F5" s="55" t="str">
        <x:v>ローカル環境確認</x:v>
      </x:c>
      <x:c r="G5" s="55" t="str">
        <x:v>Windows / VS Code / Git等の現状を確認</x:v>
      </x:c>
      <x:c r="H5" s="55" t="str">
        <x:v>完了</x:v>
      </x:c>
      <x:c r="I5" s="55" t="str">
        <x:v>High</x:v>
      </x:c>
      <x:c r="J5" s="55" t="str">
        <x:v>PO + AI支援</x:v>
      </x:c>
      <x:c r="K5" s="62"/>
      <x:c r="L5" s="57"/>
      <x:c r="M5" s="57"/>
      <x:c r="N5" s="57"/>
      <x:c r="O5" s="57"/>
      <x:c r="P5" s="58" t="n">
        <x:v>1</x:v>
      </x:c>
      <x:c r="Q5" s="55" t="str">
        <x:v>0-3</x:v>
      </x:c>
      <x:c r="R5" s="55" t="str">
        <x:v>環境設定 / docs/development-environment.md</x:v>
      </x:c>
      <x:c r="S5" s="55" t="str">
        <x:v>環境構築・動作確認・記録が完了</x:v>
      </x:c>
      <x:c r="T5" s="55"/>
      <x:c r="U5" s="55"/>
      <x:c r="V5" s="55" t="str">
        <x:v>Task</x:v>
      </x:c>
      <x:c r="W5" s="55" t="str"/>
    </x:row>
    <x:row r="6" ht="21.600000381469727" hidden="0" customHeight="1">
      <x:c r="A6" s="55" t="str">
        <x:v>1-2</x:v>
      </x:c>
      <x:c r="B6" s="55" t="str">
        <x:v>Phase 1</x:v>
      </x:c>
      <x:c r="C6" s="55" t="str">
        <x:v>開発環境構築</x:v>
      </x:c>
      <x:c r="D6" s="55" t="str">
        <x:v>実績</x:v>
      </x:c>
      <x:c r="E6" s="55" t="str">
        <x:v>学習</x:v>
      </x:c>
      <x:c r="F6" s="55" t="str">
        <x:v>Docker / Dev Container理解</x:v>
      </x:c>
      <x:c r="G6" s="55" t="str">
        <x:v>Docker・Image・Container・Dockerfile・Dev Containerの役割を整理</x:v>
      </x:c>
      <x:c r="H6" s="55" t="str">
        <x:v>完了</x:v>
      </x:c>
      <x:c r="I6" s="55" t="str">
        <x:v>High</x:v>
      </x:c>
      <x:c r="J6" s="55" t="str">
        <x:v>PO + AI支援</x:v>
      </x:c>
      <x:c r="K6" s="62"/>
      <x:c r="L6" s="57"/>
      <x:c r="M6" s="57"/>
      <x:c r="N6" s="57"/>
      <x:c r="O6" s="57"/>
      <x:c r="P6" s="58" t="n">
        <x:v>1</x:v>
      </x:c>
      <x:c r="Q6" s="55" t="str">
        <x:v>1-1</x:v>
      </x:c>
      <x:c r="R6" s="55" t="str">
        <x:v>環境設定 / docs/development-environment.md</x:v>
      </x:c>
      <x:c r="S6" s="55" t="str">
        <x:v>環境構築・動作確認・記録が完了</x:v>
      </x:c>
      <x:c r="T6" s="55"/>
      <x:c r="U6" s="55"/>
      <x:c r="V6" s="55" t="str">
        <x:v>Task</x:v>
      </x:c>
      <x:c r="W6" s="55" t="str"/>
    </x:row>
    <x:row r="7" ht="15" hidden="0" customHeight="1">
      <x:c r="A7" s="55" t="str">
        <x:v>1-3</x:v>
      </x:c>
      <x:c r="B7" s="55" t="str">
        <x:v>Phase 1</x:v>
      </x:c>
      <x:c r="C7" s="55" t="str">
        <x:v>開発環境構築</x:v>
      </x:c>
      <x:c r="D7" s="55" t="str">
        <x:v>実績</x:v>
      </x:c>
      <x:c r="E7" s="55" t="str">
        <x:v>設計</x:v>
      </x:c>
      <x:c r="F7" s="55" t="str">
        <x:v>Dev Container設計</x:v>
      </x:c>
      <x:c r="G7" s="55" t="str">
        <x:v>Dockerfile / devcontainer.jsonの構成を設計</x:v>
      </x:c>
      <x:c r="H7" s="55" t="str">
        <x:v>完了</x:v>
      </x:c>
      <x:c r="I7" s="55" t="str">
        <x:v>High</x:v>
      </x:c>
      <x:c r="J7" s="55" t="str">
        <x:v>PO + AI支援</x:v>
      </x:c>
      <x:c r="K7" s="62"/>
      <x:c r="L7" s="57"/>
      <x:c r="M7" s="57"/>
      <x:c r="N7" s="57"/>
      <x:c r="O7" s="57"/>
      <x:c r="P7" s="58" t="n">
        <x:v>1</x:v>
      </x:c>
      <x:c r="Q7" s="55" t="str">
        <x:v>1-2</x:v>
      </x:c>
      <x:c r="R7" s="55" t="str">
        <x:v>環境設定 / docs/development-environment.md</x:v>
      </x:c>
      <x:c r="S7" s="55" t="str">
        <x:v>環境構築・動作確認・記録が完了</x:v>
      </x:c>
      <x:c r="T7" s="55"/>
      <x:c r="U7" s="55"/>
      <x:c r="V7" s="55" t="str">
        <x:v>Task</x:v>
      </x:c>
      <x:c r="W7" s="55" t="str"/>
    </x:row>
    <x:row r="8" ht="15" hidden="0" customHeight="1">
      <x:c r="A8" s="55" t="str">
        <x:v>1-4</x:v>
      </x:c>
      <x:c r="B8" s="55" t="str">
        <x:v>Phase 1</x:v>
      </x:c>
      <x:c r="C8" s="55" t="str">
        <x:v>開発環境構築</x:v>
      </x:c>
      <x:c r="D8" s="55" t="str">
        <x:v>実績</x:v>
      </x:c>
      <x:c r="E8" s="55" t="str">
        <x:v>構築</x:v>
      </x:c>
      <x:c r="F8" s="55" t="str">
        <x:v>Dev Container構築</x:v>
      </x:c>
      <x:c r="G8" s="55" t="str">
        <x:v>VS Code Dev ContainerでJava開発環境を構築</x:v>
      </x:c>
      <x:c r="H8" s="55" t="str">
        <x:v>完了</x:v>
      </x:c>
      <x:c r="I8" s="55" t="str">
        <x:v>High</x:v>
      </x:c>
      <x:c r="J8" s="55" t="str">
        <x:v>PO + AI支援</x:v>
      </x:c>
      <x:c r="K8" s="62"/>
      <x:c r="L8" s="57"/>
      <x:c r="M8" s="57"/>
      <x:c r="N8" s="57"/>
      <x:c r="O8" s="57"/>
      <x:c r="P8" s="58" t="n">
        <x:v>1</x:v>
      </x:c>
      <x:c r="Q8" s="55" t="str">
        <x:v>1-3</x:v>
      </x:c>
      <x:c r="R8" s="55" t="str">
        <x:v>環境設定 / docs/development-environment.md</x:v>
      </x:c>
      <x:c r="S8" s="55" t="str">
        <x:v>環境構築・動作確認・記録が完了</x:v>
      </x:c>
      <x:c r="T8" s="55"/>
      <x:c r="U8" s="55"/>
      <x:c r="V8" s="55" t="str">
        <x:v>Task</x:v>
      </x:c>
      <x:c r="W8" s="55" t="str"/>
    </x:row>
    <x:row r="9" ht="15" hidden="0" customHeight="1">
      <x:c r="A9" s="55" t="str">
        <x:v>1-5</x:v>
      </x:c>
      <x:c r="B9" s="55" t="str">
        <x:v>Phase 1</x:v>
      </x:c>
      <x:c r="C9" s="55" t="str">
        <x:v>開発環境構築</x:v>
      </x:c>
      <x:c r="D9" s="55" t="str">
        <x:v>実績</x:v>
      </x:c>
      <x:c r="E9" s="55" t="str">
        <x:v>構築</x:v>
      </x:c>
      <x:c r="F9" s="55" t="str">
        <x:v>Spring Boot環境構築</x:v>
      </x:c>
      <x:c r="G9" s="55" t="str">
        <x:v>Java 21 / Spring Boot / Maven Wrapper環境を構築</x:v>
      </x:c>
      <x:c r="H9" s="55" t="str">
        <x:v>完了</x:v>
      </x:c>
      <x:c r="I9" s="55" t="str">
        <x:v>High</x:v>
      </x:c>
      <x:c r="J9" s="55" t="str">
        <x:v>PO + AI支援</x:v>
      </x:c>
      <x:c r="K9" s="62"/>
      <x:c r="L9" s="57"/>
      <x:c r="M9" s="57"/>
      <x:c r="N9" s="57"/>
      <x:c r="O9" s="57"/>
      <x:c r="P9" s="58" t="n">
        <x:v>1</x:v>
      </x:c>
      <x:c r="Q9" s="55" t="str">
        <x:v>1-4</x:v>
      </x:c>
      <x:c r="R9" s="55" t="str">
        <x:v>環境設定 / docs/development-environment.md</x:v>
      </x:c>
      <x:c r="S9" s="55" t="str">
        <x:v>環境構築・動作確認・記録が完了</x:v>
      </x:c>
      <x:c r="T9" s="55"/>
      <x:c r="U9" s="55"/>
      <x:c r="V9" s="55" t="str">
        <x:v>Task</x:v>
      </x:c>
      <x:c r="W9" s="55" t="str"/>
    </x:row>
    <x:row r="10" ht="15" hidden="0" customHeight="1">
      <x:c r="A10" s="55" t="str">
        <x:v>1-6</x:v>
      </x:c>
      <x:c r="B10" s="55" t="str">
        <x:v>Phase 1</x:v>
      </x:c>
      <x:c r="C10" s="55" t="str">
        <x:v>開発環境構築</x:v>
      </x:c>
      <x:c r="D10" s="55" t="str">
        <x:v>実績</x:v>
      </x:c>
      <x:c r="E10" s="55" t="str">
        <x:v>構築</x:v>
      </x:c>
      <x:c r="F10" s="55" t="str">
        <x:v>GitHub連携</x:v>
      </x:c>
      <x:c r="G10" s="55" t="str">
        <x:v>Git / GitHub接続・初回push</x:v>
      </x:c>
      <x:c r="H10" s="55" t="str">
        <x:v>完了</x:v>
      </x:c>
      <x:c r="I10" s="55" t="str">
        <x:v>High</x:v>
      </x:c>
      <x:c r="J10" s="55" t="str">
        <x:v>PO + AI支援</x:v>
      </x:c>
      <x:c r="K10" s="62"/>
      <x:c r="L10" s="57"/>
      <x:c r="M10" s="57"/>
      <x:c r="N10" s="57"/>
      <x:c r="O10" s="57"/>
      <x:c r="P10" s="58" t="n">
        <x:v>1</x:v>
      </x:c>
      <x:c r="Q10" s="55" t="str">
        <x:v>1-5</x:v>
      </x:c>
      <x:c r="R10" s="55" t="str">
        <x:v>環境設定 / docs/development-environment.md</x:v>
      </x:c>
      <x:c r="S10" s="55" t="str">
        <x:v>環境構築・動作確認・記録が完了</x:v>
      </x:c>
      <x:c r="T10" s="55"/>
      <x:c r="U10" s="55"/>
      <x:c r="V10" s="55" t="str">
        <x:v>Task</x:v>
      </x:c>
      <x:c r="W10" s="55" t="str"/>
    </x:row>
    <x:row r="11" ht="15" hidden="0" customHeight="1">
      <x:c r="A11" s="55" t="str">
        <x:v>1-7</x:v>
      </x:c>
      <x:c r="B11" s="55" t="str">
        <x:v>Phase 1</x:v>
      </x:c>
      <x:c r="C11" s="55" t="str">
        <x:v>開発環境構築</x:v>
      </x:c>
      <x:c r="D11" s="55" t="str">
        <x:v>実績</x:v>
      </x:c>
      <x:c r="E11" s="55" t="str">
        <x:v>検証</x:v>
      </x:c>
      <x:c r="F11" s="55" t="str">
        <x:v>Hello World動作確認</x:v>
      </x:c>
      <x:c r="G11" s="55" t="str">
        <x:v>Spring Bootアプリの起動確認</x:v>
      </x:c>
      <x:c r="H11" s="55" t="str">
        <x:v>完了</x:v>
      </x:c>
      <x:c r="I11" s="55" t="str">
        <x:v>High</x:v>
      </x:c>
      <x:c r="J11" s="55" t="str">
        <x:v>PO + AI支援</x:v>
      </x:c>
      <x:c r="K11" s="62"/>
      <x:c r="L11" s="57"/>
      <x:c r="M11" s="57"/>
      <x:c r="N11" s="57"/>
      <x:c r="O11" s="57"/>
      <x:c r="P11" s="58" t="n">
        <x:v>1</x:v>
      </x:c>
      <x:c r="Q11" s="55" t="str">
        <x:v>1-6</x:v>
      </x:c>
      <x:c r="R11" s="55" t="str">
        <x:v>環境設定 / docs/development-environment.md</x:v>
      </x:c>
      <x:c r="S11" s="55" t="str">
        <x:v>環境構築・動作確認・記録が完了</x:v>
      </x:c>
      <x:c r="T11" s="55"/>
      <x:c r="U11" s="55"/>
      <x:c r="V11" s="55" t="str">
        <x:v>Task</x:v>
      </x:c>
      <x:c r="W11" s="55" t="str"/>
    </x:row>
    <x:row r="12" ht="15" hidden="0" customHeight="1">
      <x:c r="A12" s="55" t="str">
        <x:v>1-8</x:v>
      </x:c>
      <x:c r="B12" s="55" t="str">
        <x:v>Phase 1</x:v>
      </x:c>
      <x:c r="C12" s="55" t="str">
        <x:v>開発環境構築</x:v>
      </x:c>
      <x:c r="D12" s="55" t="str">
        <x:v>実績</x:v>
      </x:c>
      <x:c r="E12" s="55" t="str">
        <x:v>ナレッジ</x:v>
      </x:c>
      <x:c r="F12" s="55" t="str">
        <x:v>環境構築トラブル対応</x:v>
      </x:c>
      <x:c r="G12" s="55" t="str">
        <x:v>発生したトラブルの原因・対応・再発防止を整理</x:v>
      </x:c>
      <x:c r="H12" s="55" t="str">
        <x:v>完了</x:v>
      </x:c>
      <x:c r="I12" s="55" t="str">
        <x:v>High</x:v>
      </x:c>
      <x:c r="J12" s="55" t="str">
        <x:v>PO + AI支援</x:v>
      </x:c>
      <x:c r="K12" s="62"/>
      <x:c r="L12" s="57"/>
      <x:c r="M12" s="57"/>
      <x:c r="N12" s="57"/>
      <x:c r="O12" s="57"/>
      <x:c r="P12" s="58" t="n">
        <x:v>1</x:v>
      </x:c>
      <x:c r="Q12" s="55" t="str">
        <x:v>1-7</x:v>
      </x:c>
      <x:c r="R12" s="55" t="str">
        <x:v>環境設定 / docs/development-environment.md</x:v>
      </x:c>
      <x:c r="S12" s="55" t="str">
        <x:v>環境構築・動作確認・記録が完了</x:v>
      </x:c>
      <x:c r="T12" s="55"/>
      <x:c r="U12" s="55"/>
      <x:c r="V12" s="55" t="str">
        <x:v>Task</x:v>
      </x:c>
      <x:c r="W12" s="55" t="str"/>
    </x:row>
    <x:row r="13" ht="15" hidden="0" customHeight="1">
      <x:c r="A13" s="55" t="str">
        <x:v>1-9</x:v>
      </x:c>
      <x:c r="B13" s="55" t="str">
        <x:v>Phase 1</x:v>
      </x:c>
      <x:c r="C13" s="55" t="str">
        <x:v>開発環境構築</x:v>
      </x:c>
      <x:c r="D13" s="55" t="str">
        <x:v>実績</x:v>
      </x:c>
      <x:c r="E13" s="55" t="str">
        <x:v>文書化</x:v>
      </x:c>
      <x:c r="F13" s="55" t="str">
        <x:v>環境構築ドキュメント</x:v>
      </x:c>
      <x:c r="G13" s="55" t="str">
        <x:v>development-environment.mdを作成・更新</x:v>
      </x:c>
      <x:c r="H13" s="55" t="str">
        <x:v>完了</x:v>
      </x:c>
      <x:c r="I13" s="55" t="str">
        <x:v>High</x:v>
      </x:c>
      <x:c r="J13" s="55" t="str">
        <x:v>PO + AI支援</x:v>
      </x:c>
      <x:c r="K13" s="62"/>
      <x:c r="L13" s="57"/>
      <x:c r="M13" s="57"/>
      <x:c r="N13" s="57"/>
      <x:c r="O13" s="57"/>
      <x:c r="P13" s="58" t="n">
        <x:v>1</x:v>
      </x:c>
      <x:c r="Q13" s="55" t="str">
        <x:v>1-8</x:v>
      </x:c>
      <x:c r="R13" s="55" t="str">
        <x:v>環境設定 / docs/development-environment.md</x:v>
      </x:c>
      <x:c r="S13" s="55" t="str">
        <x:v>環境構築・動作確認・記録が完了</x:v>
      </x:c>
      <x:c r="T13" s="55"/>
      <x:c r="U13" s="55"/>
      <x:c r="V13" s="55" t="str">
        <x:v>Task</x:v>
      </x:c>
      <x:c r="W13" s="55" t="str"/>
    </x:row>
    <x:row r="14" ht="15" hidden="0" customHeight="1">
      <x:c r="A14" s="55" t="str">
        <x:v>2-1</x:v>
      </x:c>
      <x:c r="B14" s="55" t="str">
        <x:v>Phase 2</x:v>
      </x:c>
      <x:c r="C14" s="55" t="str">
        <x:v>企画</x:v>
      </x:c>
      <x:c r="D14" s="55" t="str">
        <x:v>実績</x:v>
      </x:c>
      <x:c r="E14" s="55" t="str">
        <x:v>企画</x:v>
      </x:c>
      <x:c r="F14" s="55" t="str">
        <x:v>課題整理</x:v>
      </x:c>
      <x:c r="G14" s="55" t="str">
        <x:v>メモ整理が面倒というユーザー課題を整理</x:v>
      </x:c>
      <x:c r="H14" s="55" t="str">
        <x:v>完了</x:v>
      </x:c>
      <x:c r="I14" s="55" t="str">
        <x:v>High</x:v>
      </x:c>
      <x:c r="J14" s="55" t="str">
        <x:v>PO + AI支援</x:v>
      </x:c>
      <x:c r="K14" s="62"/>
      <x:c r="L14" s="57"/>
      <x:c r="M14" s="57"/>
      <x:c r="N14" s="57"/>
      <x:c r="O14" s="57"/>
      <x:c r="P14" s="58" t="n">
        <x:v>1</x:v>
      </x:c>
      <x:c r="Q14" s="55" t="str">
        <x:v>1-9</x:v>
      </x:c>
      <x:c r="R14" s="55" t="str">
        <x:v>企画資料 / MVP定義</x:v>
      </x:c>
      <x:c r="S14" s="55" t="str">
        <x:v>企画・MVPの判断事項が確定</x:v>
      </x:c>
      <x:c r="T14" s="55"/>
      <x:c r="U14" s="55"/>
      <x:c r="V14" s="55" t="str">
        <x:v>Task</x:v>
      </x:c>
      <x:c r="W14" s="55" t="str"/>
    </x:row>
    <x:row r="15" ht="15" hidden="0" customHeight="1">
      <x:c r="A15" s="55" t="str">
        <x:v>2-2</x:v>
      </x:c>
      <x:c r="B15" s="55" t="str">
        <x:v>Phase 2</x:v>
      </x:c>
      <x:c r="C15" s="55" t="str">
        <x:v>企画</x:v>
      </x:c>
      <x:c r="D15" s="55" t="str">
        <x:v>実績</x:v>
      </x:c>
      <x:c r="E15" s="55" t="str">
        <x:v>企画</x:v>
      </x:c>
      <x:c r="F15" s="55" t="str">
        <x:v>サービスコンセプト策定</x:v>
      </x:c>
      <x:c r="G15" s="55" t="str">
        <x:v>「放り込むだけAI整理ツール」のコンセプトを策定</x:v>
      </x:c>
      <x:c r="H15" s="55" t="str">
        <x:v>完了</x:v>
      </x:c>
      <x:c r="I15" s="55" t="str">
        <x:v>High</x:v>
      </x:c>
      <x:c r="J15" s="55" t="str">
        <x:v>PO + AI支援</x:v>
      </x:c>
      <x:c r="K15" s="62"/>
      <x:c r="L15" s="57"/>
      <x:c r="M15" s="57"/>
      <x:c r="N15" s="57"/>
      <x:c r="O15" s="57"/>
      <x:c r="P15" s="58" t="n">
        <x:v>1</x:v>
      </x:c>
      <x:c r="Q15" s="55" t="str">
        <x:v>2-1</x:v>
      </x:c>
      <x:c r="R15" s="55" t="str">
        <x:v>企画資料 / MVP定義</x:v>
      </x:c>
      <x:c r="S15" s="55" t="str">
        <x:v>企画・MVPの判断事項が確定</x:v>
      </x:c>
      <x:c r="T15" s="55"/>
      <x:c r="U15" s="55"/>
      <x:c r="V15" s="55" t="str">
        <x:v>Task</x:v>
      </x:c>
      <x:c r="W15" s="55" t="str"/>
    </x:row>
    <x:row r="16" ht="15" hidden="0" customHeight="1">
      <x:c r="A16" s="55" t="str">
        <x:v>2-3</x:v>
      </x:c>
      <x:c r="B16" s="55" t="str">
        <x:v>Phase 2</x:v>
      </x:c>
      <x:c r="C16" s="55" t="str">
        <x:v>企画</x:v>
      </x:c>
      <x:c r="D16" s="55" t="str">
        <x:v>実績</x:v>
      </x:c>
      <x:c r="E16" s="55" t="str">
        <x:v>企画</x:v>
      </x:c>
      <x:c r="F16" s="55" t="str">
        <x:v>コア体験整理</x:v>
      </x:c>
      <x:c r="G16" s="55" t="str">
        <x:v>入力→AI整理→ユーザー判断の基本体験を整理</x:v>
      </x:c>
      <x:c r="H16" s="55" t="str">
        <x:v>完了</x:v>
      </x:c>
      <x:c r="I16" s="55" t="str">
        <x:v>High</x:v>
      </x:c>
      <x:c r="J16" s="55" t="str">
        <x:v>PO + AI支援</x:v>
      </x:c>
      <x:c r="K16" s="62"/>
      <x:c r="L16" s="57"/>
      <x:c r="M16" s="57"/>
      <x:c r="N16" s="57"/>
      <x:c r="O16" s="57"/>
      <x:c r="P16" s="58" t="n">
        <x:v>1</x:v>
      </x:c>
      <x:c r="Q16" s="55" t="str">
        <x:v>2-2</x:v>
      </x:c>
      <x:c r="R16" s="55" t="str">
        <x:v>企画資料 / MVP定義</x:v>
      </x:c>
      <x:c r="S16" s="55" t="str">
        <x:v>企画・MVPの判断事項が確定</x:v>
      </x:c>
      <x:c r="T16" s="55"/>
      <x:c r="U16" s="55"/>
      <x:c r="V16" s="55" t="str">
        <x:v>Task</x:v>
      </x:c>
      <x:c r="W16" s="55" t="str"/>
    </x:row>
    <x:row r="17" ht="21.600000381469727" hidden="0" customHeight="1">
      <x:c r="A17" s="55" t="str">
        <x:v>2-4</x:v>
      </x:c>
      <x:c r="B17" s="55" t="str">
        <x:v>Phase 2</x:v>
      </x:c>
      <x:c r="C17" s="55" t="str">
        <x:v>企画</x:v>
      </x:c>
      <x:c r="D17" s="55" t="str">
        <x:v>実績</x:v>
      </x:c>
      <x:c r="E17" s="55" t="str">
        <x:v>企画</x:v>
      </x:c>
      <x:c r="F17" s="55" t="str">
        <x:v>企画原則策定</x:v>
      </x:c>
      <x:c r="G17" s="55" t="str">
        <x:v>原文不変・AI推測とユーザー確定の区別・最小限修正等を策定</x:v>
      </x:c>
      <x:c r="H17" s="55" t="str">
        <x:v>完了</x:v>
      </x:c>
      <x:c r="I17" s="55" t="str">
        <x:v>High</x:v>
      </x:c>
      <x:c r="J17" s="55" t="str">
        <x:v>PO + AI支援</x:v>
      </x:c>
      <x:c r="K17" s="62"/>
      <x:c r="L17" s="57"/>
      <x:c r="M17" s="57"/>
      <x:c r="N17" s="57"/>
      <x:c r="O17" s="57"/>
      <x:c r="P17" s="58" t="n">
        <x:v>1</x:v>
      </x:c>
      <x:c r="Q17" s="55" t="str">
        <x:v>2-3</x:v>
      </x:c>
      <x:c r="R17" s="55" t="str">
        <x:v>企画資料 / MVP定義</x:v>
      </x:c>
      <x:c r="S17" s="55" t="str">
        <x:v>企画・MVPの判断事項が確定</x:v>
      </x:c>
      <x:c r="T17" s="55"/>
      <x:c r="U17" s="55"/>
      <x:c r="V17" s="55" t="str">
        <x:v>Task</x:v>
      </x:c>
      <x:c r="W17" s="55" t="str"/>
    </x:row>
    <x:row r="18" ht="15" hidden="0" customHeight="1">
      <x:c r="A18" s="55" t="str">
        <x:v>2-5</x:v>
      </x:c>
      <x:c r="B18" s="55" t="str">
        <x:v>Phase 2</x:v>
      </x:c>
      <x:c r="C18" s="55" t="str">
        <x:v>企画</x:v>
      </x:c>
      <x:c r="D18" s="55" t="str">
        <x:v>実績</x:v>
      </x:c>
      <x:c r="E18" s="55" t="str">
        <x:v>MVP</x:v>
      </x:c>
      <x:c r="F18" s="55" t="str">
        <x:v>MVPスコープ整理</x:v>
      </x:c>
      <x:c r="G18" s="55" t="str">
        <x:v>MVP対象機能・対象外を整理</x:v>
      </x:c>
      <x:c r="H18" s="55" t="str">
        <x:v>完了</x:v>
      </x:c>
      <x:c r="I18" s="55" t="str">
        <x:v>High</x:v>
      </x:c>
      <x:c r="J18" s="55" t="str">
        <x:v>PO + AI支援</x:v>
      </x:c>
      <x:c r="K18" s="62"/>
      <x:c r="L18" s="57"/>
      <x:c r="M18" s="57"/>
      <x:c r="N18" s="57"/>
      <x:c r="O18" s="57"/>
      <x:c r="P18" s="58" t="n">
        <x:v>1</x:v>
      </x:c>
      <x:c r="Q18" s="55" t="str">
        <x:v>2-4</x:v>
      </x:c>
      <x:c r="R18" s="55" t="str">
        <x:v>企画資料 / MVP定義</x:v>
      </x:c>
      <x:c r="S18" s="55" t="str">
        <x:v>企画・MVPの判断事項が確定</x:v>
      </x:c>
      <x:c r="T18" s="55"/>
      <x:c r="U18" s="55"/>
      <x:c r="V18" s="55" t="str">
        <x:v>Task</x:v>
      </x:c>
      <x:c r="W18" s="55" t="str"/>
    </x:row>
    <x:row r="19" ht="15" hidden="0" customHeight="1">
      <x:c r="A19" s="55" t="str">
        <x:v>2-6</x:v>
      </x:c>
      <x:c r="B19" s="55" t="str">
        <x:v>Phase 2</x:v>
      </x:c>
      <x:c r="C19" s="55" t="str">
        <x:v>企画</x:v>
      </x:c>
      <x:c r="D19" s="55" t="str">
        <x:v>実績</x:v>
      </x:c>
      <x:c r="E19" s="55" t="str">
        <x:v>企画</x:v>
      </x:c>
      <x:c r="F19" s="55" t="str">
        <x:v>リスク・将来構想整理</x:v>
      </x:c>
      <x:c r="G19" s="55" t="str">
        <x:v>MVP後拡張と主要リスクを整理</x:v>
      </x:c>
      <x:c r="H19" s="55" t="str">
        <x:v>完了</x:v>
      </x:c>
      <x:c r="I19" s="55" t="str">
        <x:v>High</x:v>
      </x:c>
      <x:c r="J19" s="55" t="str">
        <x:v>PO + AI支援</x:v>
      </x:c>
      <x:c r="K19" s="62"/>
      <x:c r="L19" s="57"/>
      <x:c r="M19" s="57"/>
      <x:c r="N19" s="57"/>
      <x:c r="O19" s="57"/>
      <x:c r="P19" s="58" t="n">
        <x:v>1</x:v>
      </x:c>
      <x:c r="Q19" s="55" t="str">
        <x:v>2-5</x:v>
      </x:c>
      <x:c r="R19" s="55" t="str">
        <x:v>企画資料 / MVP定義</x:v>
      </x:c>
      <x:c r="S19" s="55" t="str">
        <x:v>企画・MVPの判断事項が確定</x:v>
      </x:c>
      <x:c r="T19" s="55"/>
      <x:c r="U19" s="55"/>
      <x:c r="V19" s="55" t="str">
        <x:v>Task</x:v>
      </x:c>
      <x:c r="W19" s="55" t="str"/>
    </x:row>
    <x:row r="20" ht="15" hidden="0" customHeight="1">
      <x:c r="A20" s="55" t="str">
        <x:v>3-1</x:v>
      </x:c>
      <x:c r="B20" s="55" t="str">
        <x:v>Phase 3</x:v>
      </x:c>
      <x:c r="C20" s="55" t="str">
        <x:v>要件定義</x:v>
      </x:c>
      <x:c r="D20" s="55" t="str">
        <x:v>実績</x:v>
      </x:c>
      <x:c r="E20" s="55" t="str">
        <x:v>要件</x:v>
      </x:c>
      <x:c r="F20" s="55" t="str">
        <x:v>機能要件定義</x:v>
      </x:c>
      <x:c r="G20" s="55" t="str">
        <x:v>メモ・整理・再整理等の機能要件を定義</x:v>
      </x:c>
      <x:c r="H20" s="55" t="str">
        <x:v>完了</x:v>
      </x:c>
      <x:c r="I20" s="55" t="str">
        <x:v>High</x:v>
      </x:c>
      <x:c r="J20" s="55" t="str">
        <x:v>PO + AI支援</x:v>
      </x:c>
      <x:c r="K20" s="62"/>
      <x:c r="L20" s="57"/>
      <x:c r="M20" s="57"/>
      <x:c r="N20" s="57"/>
      <x:c r="O20" s="57"/>
      <x:c r="P20" s="58" t="n">
        <x:v>1</x:v>
      </x:c>
      <x:c r="Q20" s="55" t="str">
        <x:v>2-6</x:v>
      </x:c>
      <x:c r="R20" s="55" t="str">
        <x:v>要件定義成果物</x:v>
      </x:c>
      <x:c r="S20" s="55" t="str">
        <x:v>要件レビューまで完了</x:v>
      </x:c>
      <x:c r="T20" s="55"/>
      <x:c r="U20" s="55"/>
      <x:c r="V20" s="55" t="str">
        <x:v>Task</x:v>
      </x:c>
      <x:c r="W20" s="55" t="str"/>
    </x:row>
    <x:row r="21" ht="15" hidden="0" customHeight="1">
      <x:c r="A21" s="55" t="str">
        <x:v>3-2</x:v>
      </x:c>
      <x:c r="B21" s="55" t="str">
        <x:v>Phase 3</x:v>
      </x:c>
      <x:c r="C21" s="55" t="str">
        <x:v>要件定義</x:v>
      </x:c>
      <x:c r="D21" s="55" t="str">
        <x:v>実績</x:v>
      </x:c>
      <x:c r="E21" s="55" t="str">
        <x:v>要件</x:v>
      </x:c>
      <x:c r="F21" s="55" t="str">
        <x:v>非機能要件定義</x:v>
      </x:c>
      <x:c r="G21" s="55" t="str">
        <x:v>セキュリティ・性能・運用等を整理</x:v>
      </x:c>
      <x:c r="H21" s="55" t="str">
        <x:v>完了</x:v>
      </x:c>
      <x:c r="I21" s="55" t="str">
        <x:v>High</x:v>
      </x:c>
      <x:c r="J21" s="55" t="str">
        <x:v>PO + AI支援</x:v>
      </x:c>
      <x:c r="K21" s="62"/>
      <x:c r="L21" s="57"/>
      <x:c r="M21" s="57"/>
      <x:c r="N21" s="57"/>
      <x:c r="O21" s="57"/>
      <x:c r="P21" s="58" t="n">
        <x:v>1</x:v>
      </x:c>
      <x:c r="Q21" s="55" t="str">
        <x:v>3-1</x:v>
      </x:c>
      <x:c r="R21" s="55" t="str">
        <x:v>要件定義成果物</x:v>
      </x:c>
      <x:c r="S21" s="55" t="str">
        <x:v>要件レビューまで完了</x:v>
      </x:c>
      <x:c r="T21" s="55"/>
      <x:c r="U21" s="55"/>
      <x:c r="V21" s="55" t="str">
        <x:v>Task</x:v>
      </x:c>
      <x:c r="W21" s="55" t="str"/>
    </x:row>
    <x:row r="22" ht="15" hidden="0" customHeight="1">
      <x:c r="A22" s="55" t="str">
        <x:v>3-3</x:v>
      </x:c>
      <x:c r="B22" s="55" t="str">
        <x:v>Phase 3</x:v>
      </x:c>
      <x:c r="C22" s="55" t="str">
        <x:v>要件定義</x:v>
      </x:c>
      <x:c r="D22" s="55" t="str">
        <x:v>実績</x:v>
      </x:c>
      <x:c r="E22" s="55" t="str">
        <x:v>要件</x:v>
      </x:c>
      <x:c r="F22" s="55" t="str">
        <x:v>ユーザーストーリー整理</x:v>
      </x:c>
      <x:c r="G22" s="55" t="str">
        <x:v>主要利用シナリオを整理</x:v>
      </x:c>
      <x:c r="H22" s="55" t="str">
        <x:v>完了</x:v>
      </x:c>
      <x:c r="I22" s="55" t="str">
        <x:v>High</x:v>
      </x:c>
      <x:c r="J22" s="55" t="str">
        <x:v>PO + AI支援</x:v>
      </x:c>
      <x:c r="K22" s="62"/>
      <x:c r="L22" s="57"/>
      <x:c r="M22" s="57"/>
      <x:c r="N22" s="57"/>
      <x:c r="O22" s="57"/>
      <x:c r="P22" s="58" t="n">
        <x:v>1</x:v>
      </x:c>
      <x:c r="Q22" s="55" t="str">
        <x:v>3-2</x:v>
      </x:c>
      <x:c r="R22" s="55" t="str">
        <x:v>要件定義成果物</x:v>
      </x:c>
      <x:c r="S22" s="55" t="str">
        <x:v>要件レビューまで完了</x:v>
      </x:c>
      <x:c r="T22" s="55"/>
      <x:c r="U22" s="55"/>
      <x:c r="V22" s="55" t="str">
        <x:v>Task</x:v>
      </x:c>
      <x:c r="W22" s="55" t="str"/>
    </x:row>
    <x:row r="23" ht="15" hidden="0" customHeight="1">
      <x:c r="A23" s="55" t="str">
        <x:v>3-4</x:v>
      </x:c>
      <x:c r="B23" s="55" t="str">
        <x:v>Phase 3</x:v>
      </x:c>
      <x:c r="C23" s="55" t="str">
        <x:v>要件定義</x:v>
      </x:c>
      <x:c r="D23" s="55" t="str">
        <x:v>実績</x:v>
      </x:c>
      <x:c r="E23" s="55" t="str">
        <x:v>要件</x:v>
      </x:c>
      <x:c r="F23" s="55" t="str">
        <x:v>受入条件整理</x:v>
      </x:c>
      <x:c r="G23" s="55" t="str">
        <x:v>MVPの受入条件を整理</x:v>
      </x:c>
      <x:c r="H23" s="55" t="str">
        <x:v>完了</x:v>
      </x:c>
      <x:c r="I23" s="55" t="str">
        <x:v>High</x:v>
      </x:c>
      <x:c r="J23" s="55" t="str">
        <x:v>PO + AI支援</x:v>
      </x:c>
      <x:c r="K23" s="62"/>
      <x:c r="L23" s="57"/>
      <x:c r="M23" s="57"/>
      <x:c r="N23" s="57"/>
      <x:c r="O23" s="57"/>
      <x:c r="P23" s="58" t="n">
        <x:v>1</x:v>
      </x:c>
      <x:c r="Q23" s="55" t="str">
        <x:v>3-3</x:v>
      </x:c>
      <x:c r="R23" s="55" t="str">
        <x:v>要件定義成果物</x:v>
      </x:c>
      <x:c r="S23" s="55" t="str">
        <x:v>要件レビューまで完了</x:v>
      </x:c>
      <x:c r="T23" s="55"/>
      <x:c r="U23" s="55"/>
      <x:c r="V23" s="55" t="str">
        <x:v>Task</x:v>
      </x:c>
      <x:c r="W23" s="55" t="str"/>
    </x:row>
    <x:row r="24" ht="15" hidden="0" customHeight="1">
      <x:c r="A24" s="55" t="str">
        <x:v>3-5</x:v>
      </x:c>
      <x:c r="B24" s="55" t="str">
        <x:v>Phase 3</x:v>
      </x:c>
      <x:c r="C24" s="55" t="str">
        <x:v>要件定義</x:v>
      </x:c>
      <x:c r="D24" s="55" t="str">
        <x:v>実績</x:v>
      </x:c>
      <x:c r="E24" s="55" t="str">
        <x:v>要件</x:v>
      </x:c>
      <x:c r="F24" s="55" t="str">
        <x:v>異常系・制約整理</x:v>
      </x:c>
      <x:c r="G24" s="55" t="str">
        <x:v>AI失敗・競合・削除等の制約を整理</x:v>
      </x:c>
      <x:c r="H24" s="55" t="str">
        <x:v>完了</x:v>
      </x:c>
      <x:c r="I24" s="55" t="str">
        <x:v>High</x:v>
      </x:c>
      <x:c r="J24" s="55" t="str">
        <x:v>PO + AI支援</x:v>
      </x:c>
      <x:c r="K24" s="62"/>
      <x:c r="L24" s="57"/>
      <x:c r="M24" s="57"/>
      <x:c r="N24" s="57"/>
      <x:c r="O24" s="57"/>
      <x:c r="P24" s="58" t="n">
        <x:v>1</x:v>
      </x:c>
      <x:c r="Q24" s="55" t="str">
        <x:v>3-4</x:v>
      </x:c>
      <x:c r="R24" s="55" t="str">
        <x:v>要件定義成果物</x:v>
      </x:c>
      <x:c r="S24" s="55" t="str">
        <x:v>要件レビューまで完了</x:v>
      </x:c>
      <x:c r="T24" s="55"/>
      <x:c r="U24" s="55"/>
      <x:c r="V24" s="55" t="str">
        <x:v>Task</x:v>
      </x:c>
      <x:c r="W24" s="55" t="str"/>
    </x:row>
    <x:row r="25" ht="15" hidden="0" customHeight="1">
      <x:c r="A25" s="55" t="str">
        <x:v>3-6</x:v>
      </x:c>
      <x:c r="B25" s="55" t="str">
        <x:v>Phase 3</x:v>
      </x:c>
      <x:c r="C25" s="55" t="str">
        <x:v>要件定義</x:v>
      </x:c>
      <x:c r="D25" s="55" t="str">
        <x:v>実績</x:v>
      </x:c>
      <x:c r="E25" s="55" t="str">
        <x:v>レビュー</x:v>
      </x:c>
      <x:c r="F25" s="55" t="str">
        <x:v>要件レビュー</x:v>
      </x:c>
      <x:c r="G25" s="55" t="str">
        <x:v>Claude等によるレビューと修正反映</x:v>
      </x:c>
      <x:c r="H25" s="55" t="str">
        <x:v>完了</x:v>
      </x:c>
      <x:c r="I25" s="55" t="str">
        <x:v>High</x:v>
      </x:c>
      <x:c r="J25" s="55" t="str">
        <x:v>PO + AI支援</x:v>
      </x:c>
      <x:c r="K25" s="62"/>
      <x:c r="L25" s="57"/>
      <x:c r="M25" s="57"/>
      <x:c r="N25" s="57"/>
      <x:c r="O25" s="57"/>
      <x:c r="P25" s="58" t="n">
        <x:v>1</x:v>
      </x:c>
      <x:c r="Q25" s="55" t="str">
        <x:v>3-5</x:v>
      </x:c>
      <x:c r="R25" s="55" t="str">
        <x:v>要件定義成果物</x:v>
      </x:c>
      <x:c r="S25" s="55" t="str">
        <x:v>要件レビューまで完了</x:v>
      </x:c>
      <x:c r="T25" s="55"/>
      <x:c r="U25" s="55"/>
      <x:c r="V25" s="55" t="str">
        <x:v>Task</x:v>
      </x:c>
      <x:c r="W25" s="55" t="str"/>
    </x:row>
    <x:row r="26" ht="15" hidden="0" customHeight="1">
      <x:c r="A26" s="55" t="str">
        <x:v>4-1</x:v>
      </x:c>
      <x:c r="B26" s="55" t="str">
        <x:v>Phase 4</x:v>
      </x:c>
      <x:c r="C26" s="55" t="str">
        <x:v>システム全体設計</x:v>
      </x:c>
      <x:c r="D26" s="55" t="str">
        <x:v>実績</x:v>
      </x:c>
      <x:c r="E26" s="55" t="str">
        <x:v>技術</x:v>
      </x:c>
      <x:c r="F26" s="55" t="str">
        <x:v>技術スタック設計</x:v>
      </x:c>
      <x:c r="G26" s="55" t="str">
        <x:v>Java / Spring Boot等の技術スタックを整理</x:v>
      </x:c>
      <x:c r="H26" s="55" t="str">
        <x:v>完了</x:v>
      </x:c>
      <x:c r="I26" s="55" t="str">
        <x:v>High</x:v>
      </x:c>
      <x:c r="J26" s="55" t="str">
        <x:v>PO + AI支援</x:v>
      </x:c>
      <x:c r="K26" s="62"/>
      <x:c r="L26" s="57"/>
      <x:c r="M26" s="57"/>
      <x:c r="N26" s="57"/>
      <x:c r="O26" s="57"/>
      <x:c r="P26" s="58" t="n">
        <x:v>1</x:v>
      </x:c>
      <x:c r="Q26" s="55" t="str">
        <x:v>3-6</x:v>
      </x:c>
      <x:c r="R26" s="55" t="str">
        <x:v>アーキテクチャ設計 / ADR等</x:v>
      </x:c>
      <x:c r="S26" s="55" t="str">
        <x:v>Phase 5へ進める状態</x:v>
      </x:c>
      <x:c r="T26" s="55"/>
      <x:c r="U26" s="55"/>
      <x:c r="V26" s="55" t="str">
        <x:v>Task</x:v>
      </x:c>
      <x:c r="W26" s="55" t="str"/>
    </x:row>
    <x:row r="27" ht="15" hidden="0" customHeight="1">
      <x:c r="A27" s="55" t="str">
        <x:v>4-2</x:v>
      </x:c>
      <x:c r="B27" s="55" t="str">
        <x:v>Phase 4</x:v>
      </x:c>
      <x:c r="C27" s="55" t="str">
        <x:v>システム全体設計</x:v>
      </x:c>
      <x:c r="D27" s="55" t="str">
        <x:v>実績</x:v>
      </x:c>
      <x:c r="E27" s="55" t="str">
        <x:v>構成</x:v>
      </x:c>
      <x:c r="F27" s="55" t="str">
        <x:v>アーキテクチャ設計</x:v>
      </x:c>
      <x:c r="G27" s="55" t="str">
        <x:v>モジュラーモノリス + AI Service分離を設計</x:v>
      </x:c>
      <x:c r="H27" s="55" t="str">
        <x:v>完了</x:v>
      </x:c>
      <x:c r="I27" s="55" t="str">
        <x:v>High</x:v>
      </x:c>
      <x:c r="J27" s="55" t="str">
        <x:v>PO + AI支援</x:v>
      </x:c>
      <x:c r="K27" s="62"/>
      <x:c r="L27" s="57"/>
      <x:c r="M27" s="57"/>
      <x:c r="N27" s="57"/>
      <x:c r="O27" s="57"/>
      <x:c r="P27" s="58" t="n">
        <x:v>1</x:v>
      </x:c>
      <x:c r="Q27" s="55" t="str">
        <x:v>4-1</x:v>
      </x:c>
      <x:c r="R27" s="55" t="str">
        <x:v>アーキテクチャ設計 / ADR等</x:v>
      </x:c>
      <x:c r="S27" s="55" t="str">
        <x:v>Phase 5へ進める状態</x:v>
      </x:c>
      <x:c r="T27" s="55"/>
      <x:c r="U27" s="55"/>
      <x:c r="V27" s="55" t="str">
        <x:v>Task</x:v>
      </x:c>
      <x:c r="W27" s="55" t="str"/>
    </x:row>
    <x:row r="28" ht="15" hidden="0" customHeight="1">
      <x:c r="A28" s="55" t="str">
        <x:v>4-3</x:v>
      </x:c>
      <x:c r="B28" s="55" t="str">
        <x:v>Phase 4</x:v>
      </x:c>
      <x:c r="C28" s="55" t="str">
        <x:v>システム全体設計</x:v>
      </x:c>
      <x:c r="D28" s="55" t="str">
        <x:v>実績</x:v>
      </x:c>
      <x:c r="E28" s="55" t="str">
        <x:v>非同期</x:v>
      </x:c>
      <x:c r="F28" s="55" t="str">
        <x:v>非同期処理方針</x:v>
      </x:c>
      <x:c r="G28" s="55" t="str">
        <x:v>メモ保存とAI整理を分離</x:v>
      </x:c>
      <x:c r="H28" s="55" t="str">
        <x:v>完了</x:v>
      </x:c>
      <x:c r="I28" s="55" t="str">
        <x:v>High</x:v>
      </x:c>
      <x:c r="J28" s="55" t="str">
        <x:v>PO + AI支援</x:v>
      </x:c>
      <x:c r="K28" s="62"/>
      <x:c r="L28" s="57"/>
      <x:c r="M28" s="57"/>
      <x:c r="N28" s="57"/>
      <x:c r="O28" s="57"/>
      <x:c r="P28" s="58" t="n">
        <x:v>1</x:v>
      </x:c>
      <x:c r="Q28" s="55" t="str">
        <x:v>4-2</x:v>
      </x:c>
      <x:c r="R28" s="55" t="str">
        <x:v>アーキテクチャ設計 / ADR等</x:v>
      </x:c>
      <x:c r="S28" s="55" t="str">
        <x:v>Phase 5へ進める状態</x:v>
      </x:c>
      <x:c r="T28" s="55"/>
      <x:c r="U28" s="55"/>
      <x:c r="V28" s="55" t="str">
        <x:v>Task</x:v>
      </x:c>
      <x:c r="W28" s="55" t="str"/>
    </x:row>
    <x:row r="29" ht="15" hidden="0" customHeight="1">
      <x:c r="A29" s="55" t="str">
        <x:v>4-4</x:v>
      </x:c>
      <x:c r="B29" s="55" t="str">
        <x:v>Phase 4</x:v>
      </x:c>
      <x:c r="C29" s="55" t="str">
        <x:v>システム全体設計</x:v>
      </x:c>
      <x:c r="D29" s="55" t="str">
        <x:v>実績</x:v>
      </x:c>
      <x:c r="E29" s="55" t="str">
        <x:v>認証</x:v>
      </x:c>
      <x:c r="F29" s="55" t="str">
        <x:v>認証方針</x:v>
      </x:c>
      <x:c r="G29" s="55" t="str">
        <x:v>Session + Cookie等の方針を整理</x:v>
      </x:c>
      <x:c r="H29" s="55" t="str">
        <x:v>完了</x:v>
      </x:c>
      <x:c r="I29" s="55" t="str">
        <x:v>High</x:v>
      </x:c>
      <x:c r="J29" s="55" t="str">
        <x:v>PO + AI支援</x:v>
      </x:c>
      <x:c r="K29" s="62"/>
      <x:c r="L29" s="57"/>
      <x:c r="M29" s="57"/>
      <x:c r="N29" s="57"/>
      <x:c r="O29" s="57"/>
      <x:c r="P29" s="58" t="n">
        <x:v>1</x:v>
      </x:c>
      <x:c r="Q29" s="55" t="str">
        <x:v>4-3</x:v>
      </x:c>
      <x:c r="R29" s="55" t="str">
        <x:v>アーキテクチャ設計 / ADR等</x:v>
      </x:c>
      <x:c r="S29" s="55" t="str">
        <x:v>Phase 5へ進める状態</x:v>
      </x:c>
      <x:c r="T29" s="55"/>
      <x:c r="U29" s="55"/>
      <x:c r="V29" s="55" t="str">
        <x:v>Task</x:v>
      </x:c>
      <x:c r="W29" s="55" t="str"/>
    </x:row>
    <x:row r="30" ht="15" hidden="0" customHeight="1">
      <x:c r="A30" s="55" t="str">
        <x:v>4-5</x:v>
      </x:c>
      <x:c r="B30" s="55" t="str">
        <x:v>Phase 4</x:v>
      </x:c>
      <x:c r="C30" s="55" t="str">
        <x:v>システム全体設計</x:v>
      </x:c>
      <x:c r="D30" s="55" t="str">
        <x:v>実績</x:v>
      </x:c>
      <x:c r="E30" s="55" t="str">
        <x:v>AI境界</x:v>
      </x:c>
      <x:c r="F30" s="55" t="str">
        <x:v>AI Service境界設計</x:v>
      </x:c>
      <x:c r="G30" s="55" t="str">
        <x:v>Spring Boot ⇔ AI Service間の内部APIキー方式等を整理</x:v>
      </x:c>
      <x:c r="H30" s="55" t="str">
        <x:v>完了</x:v>
      </x:c>
      <x:c r="I30" s="55" t="str">
        <x:v>High</x:v>
      </x:c>
      <x:c r="J30" s="55" t="str">
        <x:v>PO + AI支援</x:v>
      </x:c>
      <x:c r="K30" s="62"/>
      <x:c r="L30" s="57"/>
      <x:c r="M30" s="57"/>
      <x:c r="N30" s="57"/>
      <x:c r="O30" s="57"/>
      <x:c r="P30" s="58" t="n">
        <x:v>1</x:v>
      </x:c>
      <x:c r="Q30" s="55" t="str">
        <x:v>4-4</x:v>
      </x:c>
      <x:c r="R30" s="55" t="str">
        <x:v>アーキテクチャ設計 / ADR等</x:v>
      </x:c>
      <x:c r="S30" s="55" t="str">
        <x:v>Phase 5へ進める状態</x:v>
      </x:c>
      <x:c r="T30" s="55"/>
      <x:c r="U30" s="55"/>
      <x:c r="V30" s="55" t="str">
        <x:v>Task</x:v>
      </x:c>
      <x:c r="W30" s="55" t="str"/>
    </x:row>
    <x:row r="31" ht="15" hidden="0" customHeight="1">
      <x:c r="A31" s="55" t="str">
        <x:v>4-6</x:v>
      </x:c>
      <x:c r="B31" s="55" t="str">
        <x:v>Phase 4</x:v>
      </x:c>
      <x:c r="C31" s="55" t="str">
        <x:v>システム全体設計</x:v>
      </x:c>
      <x:c r="D31" s="55" t="str">
        <x:v>実績</x:v>
      </x:c>
      <x:c r="E31" s="55" t="str">
        <x:v>レビュー</x:v>
      </x:c>
      <x:c r="F31" s="55" t="str">
        <x:v>全体レビュー</x:v>
      </x:c>
      <x:c r="G31" s="55" t="str">
        <x:v>Phase 5開始条件を確認</x:v>
      </x:c>
      <x:c r="H31" s="55" t="str">
        <x:v>完了</x:v>
      </x:c>
      <x:c r="I31" s="55" t="str">
        <x:v>High</x:v>
      </x:c>
      <x:c r="J31" s="55" t="str">
        <x:v>PO + AI支援</x:v>
      </x:c>
      <x:c r="K31" s="62"/>
      <x:c r="L31" s="57"/>
      <x:c r="M31" s="57"/>
      <x:c r="N31" s="57"/>
      <x:c r="O31" s="57"/>
      <x:c r="P31" s="58" t="n">
        <x:v>1</x:v>
      </x:c>
      <x:c r="Q31" s="55" t="str">
        <x:v>4-5</x:v>
      </x:c>
      <x:c r="R31" s="55" t="str">
        <x:v>アーキテクチャ設計 / ADR等</x:v>
      </x:c>
      <x:c r="S31" s="55" t="str">
        <x:v>Phase 5へ進める状態</x:v>
      </x:c>
      <x:c r="T31" s="55"/>
      <x:c r="U31" s="55"/>
      <x:c r="V31" s="55" t="str">
        <x:v>Task</x:v>
      </x:c>
      <x:c r="W31" s="55" t="str"/>
    </x:row>
    <x:row r="32" ht="21.600000381469727" hidden="0" customHeight="1">
      <x:c r="A32" s="55" t="str">
        <x:v>5-1</x:v>
      </x:c>
      <x:c r="B32" s="55" t="str">
        <x:v>Phase 5</x:v>
      </x:c>
      <x:c r="C32" s="55" t="str">
        <x:v>基本設計</x:v>
      </x:c>
      <x:c r="D32" s="55" t="str">
        <x:v>実績</x:v>
      </x:c>
      <x:c r="E32" s="55" t="str">
        <x:v>DB</x:v>
      </x:c>
      <x:c r="F32" s="55" t="str">
        <x:v>DB基本設計</x:v>
      </x:c>
      <x:c r="G32" s="55" t="str">
        <x:v>users / memos / organizations / memo_organizations / ai_processes等を設計</x:v>
      </x:c>
      <x:c r="H32" s="55" t="str">
        <x:v>完了</x:v>
      </x:c>
      <x:c r="I32" s="55" t="str">
        <x:v>High</x:v>
      </x:c>
      <x:c r="J32" s="55" t="str">
        <x:v>PO + AI支援</x:v>
      </x:c>
      <x:c r="K32" s="62"/>
      <x:c r="L32" s="57"/>
      <x:c r="M32" s="57"/>
      <x:c r="N32" s="57"/>
      <x:c r="O32" s="57"/>
      <x:c r="P32" s="58" t="n">
        <x:v>1</x:v>
      </x:c>
      <x:c r="Q32" s="55" t="str">
        <x:v>4-6</x:v>
      </x:c>
      <x:c r="R32" s="55" t="str">
        <x:v>database-design.md / api-design.md / screen-design.md / phase5-summary.md</x:v>
      </x:c>
      <x:c r="S32" s="55" t="str">
        <x:v>Phase 5完了判定済み</x:v>
      </x:c>
      <x:c r="T32" s="55"/>
      <x:c r="U32" s="55"/>
      <x:c r="V32" s="55" t="str">
        <x:v>Task</x:v>
      </x:c>
      <x:c r="W32" s="55" t="str"/>
    </x:row>
    <x:row r="33" ht="21.600000381469727" hidden="0" customHeight="1">
      <x:c r="A33" s="55" t="str">
        <x:v>5-2</x:v>
      </x:c>
      <x:c r="B33" s="55" t="str">
        <x:v>Phase 5</x:v>
      </x:c>
      <x:c r="C33" s="55" t="str">
        <x:v>基本設計</x:v>
      </x:c>
      <x:c r="D33" s="55" t="str">
        <x:v>実績</x:v>
      </x:c>
      <x:c r="E33" s="55" t="str">
        <x:v>API</x:v>
      </x:c>
      <x:c r="F33" s="55" t="str">
        <x:v>API基本設計</x:v>
      </x:c>
      <x:c r="G33" s="55" t="str">
        <x:v>メモ・整理・再整理・採用API等を設計</x:v>
      </x:c>
      <x:c r="H33" s="55" t="str">
        <x:v>完了</x:v>
      </x:c>
      <x:c r="I33" s="55" t="str">
        <x:v>High</x:v>
      </x:c>
      <x:c r="J33" s="55" t="str">
        <x:v>PO + AI支援</x:v>
      </x:c>
      <x:c r="K33" s="62"/>
      <x:c r="L33" s="57"/>
      <x:c r="M33" s="57"/>
      <x:c r="N33" s="57"/>
      <x:c r="O33" s="57"/>
      <x:c r="P33" s="58" t="n">
        <x:v>1</x:v>
      </x:c>
      <x:c r="Q33" s="55" t="str">
        <x:v>5-1</x:v>
      </x:c>
      <x:c r="R33" s="55" t="str">
        <x:v>database-design.md / api-design.md / screen-design.md / phase5-summary.md</x:v>
      </x:c>
      <x:c r="S33" s="55" t="str">
        <x:v>Phase 5完了判定済み</x:v>
      </x:c>
      <x:c r="T33" s="55"/>
      <x:c r="U33" s="55"/>
      <x:c r="V33" s="55" t="str">
        <x:v>Task</x:v>
      </x:c>
      <x:c r="W33" s="55" t="str"/>
    </x:row>
    <x:row r="34" ht="21.600000381469727" hidden="0" customHeight="1">
      <x:c r="A34" s="55" t="str">
        <x:v>5-3</x:v>
      </x:c>
      <x:c r="B34" s="55" t="str">
        <x:v>Phase 5</x:v>
      </x:c>
      <x:c r="C34" s="55" t="str">
        <x:v>基本設計</x:v>
      </x:c>
      <x:c r="D34" s="55" t="str">
        <x:v>実績</x:v>
      </x:c>
      <x:c r="E34" s="55" t="str">
        <x:v>画面</x:v>
      </x:c>
      <x:c r="F34" s="55" t="str">
        <x:v>画面設計</x:v>
      </x:c>
      <x:c r="G34" s="55" t="str">
        <x:v>Home / メモ詳細 / 整理構造編集画面等を設計</x:v>
      </x:c>
      <x:c r="H34" s="55" t="str">
        <x:v>完了</x:v>
      </x:c>
      <x:c r="I34" s="55" t="str">
        <x:v>High</x:v>
      </x:c>
      <x:c r="J34" s="55" t="str">
        <x:v>PO + AI支援</x:v>
      </x:c>
      <x:c r="K34" s="62"/>
      <x:c r="L34" s="57"/>
      <x:c r="M34" s="57"/>
      <x:c r="N34" s="57"/>
      <x:c r="O34" s="57"/>
      <x:c r="P34" s="58" t="n">
        <x:v>1</x:v>
      </x:c>
      <x:c r="Q34" s="55" t="str">
        <x:v>5-2</x:v>
      </x:c>
      <x:c r="R34" s="55" t="str">
        <x:v>database-design.md / api-design.md / screen-design.md / phase5-summary.md</x:v>
      </x:c>
      <x:c r="S34" s="55" t="str">
        <x:v>Phase 5完了判定済み</x:v>
      </x:c>
      <x:c r="T34" s="55"/>
      <x:c r="U34" s="55"/>
      <x:c r="V34" s="55" t="str">
        <x:v>Task</x:v>
      </x:c>
      <x:c r="W34" s="55" t="str"/>
    </x:row>
    <x:row r="35" ht="21.600000381469727" hidden="0" customHeight="1">
      <x:c r="A35" s="55" t="str">
        <x:v>5-4</x:v>
      </x:c>
      <x:c r="B35" s="55" t="str">
        <x:v>Phase 5</x:v>
      </x:c>
      <x:c r="C35" s="55" t="str">
        <x:v>基本設計</x:v>
      </x:c>
      <x:c r="D35" s="55" t="str">
        <x:v>実績</x:v>
      </x:c>
      <x:c r="E35" s="55" t="str">
        <x:v>状態管理</x:v>
      </x:c>
      <x:c r="F35" s="55" t="str">
        <x:v>状態・競合設計</x:v>
      </x:c>
      <x:c r="G35" s="55" t="str">
        <x:v>CURRENT / AI_SUGGESTED / proposed_result等の状態・競合を整理</x:v>
      </x:c>
      <x:c r="H35" s="55" t="str">
        <x:v>完了</x:v>
      </x:c>
      <x:c r="I35" s="55" t="str">
        <x:v>High</x:v>
      </x:c>
      <x:c r="J35" s="55" t="str">
        <x:v>PO + AI支援</x:v>
      </x:c>
      <x:c r="K35" s="62"/>
      <x:c r="L35" s="57"/>
      <x:c r="M35" s="57"/>
      <x:c r="N35" s="57"/>
      <x:c r="O35" s="57"/>
      <x:c r="P35" s="58" t="n">
        <x:v>1</x:v>
      </x:c>
      <x:c r="Q35" s="55" t="str">
        <x:v>5-3</x:v>
      </x:c>
      <x:c r="R35" s="55" t="str">
        <x:v>database-design.md / api-design.md / screen-design.md / phase5-summary.md</x:v>
      </x:c>
      <x:c r="S35" s="55" t="str">
        <x:v>Phase 5完了判定済み</x:v>
      </x:c>
      <x:c r="T35" s="55" t="str">
        <x:v>Phase 6でproposed_result方式へ反映済み</x:v>
      </x:c>
      <x:c r="U35" s="55"/>
      <x:c r="V35" s="55" t="str">
        <x:v>Task</x:v>
      </x:c>
      <x:c r="W35" s="55" t="str"/>
    </x:row>
    <x:row r="36" ht="21.600000381469727" hidden="0" customHeight="1">
      <x:c r="A36" s="55" t="str">
        <x:v>5-5</x:v>
      </x:c>
      <x:c r="B36" s="55" t="str">
        <x:v>Phase 5</x:v>
      </x:c>
      <x:c r="C36" s="55" t="str">
        <x:v>基本設計</x:v>
      </x:c>
      <x:c r="D36" s="55" t="str">
        <x:v>実績</x:v>
      </x:c>
      <x:c r="E36" s="55" t="str">
        <x:v>検索</x:v>
      </x:c>
      <x:c r="F36" s="55" t="str">
        <x:v>検索仕様補足</x:v>
      </x:c>
      <x:c r="G36" s="55" t="str">
        <x:v>検索対象はCURRENTのみ等を整理</x:v>
      </x:c>
      <x:c r="H36" s="55" t="str">
        <x:v>完了</x:v>
      </x:c>
      <x:c r="I36" s="55" t="str">
        <x:v>High</x:v>
      </x:c>
      <x:c r="J36" s="55" t="str">
        <x:v>PO + AI支援</x:v>
      </x:c>
      <x:c r="K36" s="62"/>
      <x:c r="L36" s="57"/>
      <x:c r="M36" s="57"/>
      <x:c r="N36" s="57"/>
      <x:c r="O36" s="57"/>
      <x:c r="P36" s="58" t="n">
        <x:v>1</x:v>
      </x:c>
      <x:c r="Q36" s="55" t="str">
        <x:v>5-4</x:v>
      </x:c>
      <x:c r="R36" s="55" t="str">
        <x:v>database-design.md / api-design.md / screen-design.md / phase5-summary.md</x:v>
      </x:c>
      <x:c r="S36" s="55" t="str">
        <x:v>Phase 5完了判定済み</x:v>
      </x:c>
      <x:c r="T36" s="55"/>
      <x:c r="U36" s="55"/>
      <x:c r="V36" s="55" t="str">
        <x:v>Task</x:v>
      </x:c>
      <x:c r="W36" s="55" t="str"/>
    </x:row>
    <x:row r="37" ht="21.600000381469727" hidden="0" customHeight="1">
      <x:c r="A37" s="55" t="str">
        <x:v>5-6</x:v>
      </x:c>
      <x:c r="B37" s="55" t="str">
        <x:v>Phase 5</x:v>
      </x:c>
      <x:c r="C37" s="55" t="str">
        <x:v>基本設計</x:v>
      </x:c>
      <x:c r="D37" s="55" t="str">
        <x:v>実績</x:v>
      </x:c>
      <x:c r="E37" s="55" t="str">
        <x:v>レビュー</x:v>
      </x:c>
      <x:c r="F37" s="55" t="str">
        <x:v>Phase 5総合レビュー</x:v>
      </x:c>
      <x:c r="G37" s="55" t="str">
        <x:v>DB / API / 画面 / サマリを横断レビュー</x:v>
      </x:c>
      <x:c r="H37" s="55" t="str">
        <x:v>完了</x:v>
      </x:c>
      <x:c r="I37" s="55" t="str">
        <x:v>High</x:v>
      </x:c>
      <x:c r="J37" s="55" t="str">
        <x:v>PO + AI支援</x:v>
      </x:c>
      <x:c r="K37" s="62"/>
      <x:c r="L37" s="57"/>
      <x:c r="M37" s="57"/>
      <x:c r="N37" s="57"/>
      <x:c r="O37" s="57"/>
      <x:c r="P37" s="58" t="n">
        <x:v>1</x:v>
      </x:c>
      <x:c r="Q37" s="55" t="str">
        <x:v>5-5</x:v>
      </x:c>
      <x:c r="R37" s="55" t="str">
        <x:v>database-design.md / api-design.md / screen-design.md / phase5-summary.md</x:v>
      </x:c>
      <x:c r="S37" s="55" t="str">
        <x:v>Phase 5完了判定済み</x:v>
      </x:c>
      <x:c r="T37" s="55"/>
      <x:c r="U37" s="55"/>
      <x:c r="V37" s="55" t="str">
        <x:v>Task</x:v>
      </x:c>
      <x:c r="W37" s="55" t="str"/>
    </x:row>
    <x:row r="38" ht="21.600000381469727" hidden="0" customHeight="1">
      <x:c r="A38" s="55" t="str">
        <x:v>5-7</x:v>
      </x:c>
      <x:c r="B38" s="55" t="str">
        <x:v>Phase 5</x:v>
      </x:c>
      <x:c r="C38" s="55" t="str">
        <x:v>基本設計</x:v>
      </x:c>
      <x:c r="D38" s="55" t="str">
        <x:v>実績</x:v>
      </x:c>
      <x:c r="E38" s="55" t="str">
        <x:v>確定</x:v>
      </x:c>
      <x:c r="F38" s="55" t="str">
        <x:v>Phase 5成果物確定</x:v>
      </x:c>
      <x:c r="G38" s="55" t="str">
        <x:v>レビュー反映後の成果物を確定</x:v>
      </x:c>
      <x:c r="H38" s="55" t="str">
        <x:v>完了</x:v>
      </x:c>
      <x:c r="I38" s="55" t="str">
        <x:v>High</x:v>
      </x:c>
      <x:c r="J38" s="55" t="str">
        <x:v>PO + AI支援</x:v>
      </x:c>
      <x:c r="K38" s="62"/>
      <x:c r="L38" s="57"/>
      <x:c r="M38" s="57"/>
      <x:c r="N38" s="57"/>
      <x:c r="O38" s="57"/>
      <x:c r="P38" s="58" t="n">
        <x:v>1</x:v>
      </x:c>
      <x:c r="Q38" s="55" t="str">
        <x:v>5-6</x:v>
      </x:c>
      <x:c r="R38" s="55" t="str">
        <x:v>database-design.md / api-design.md / screen-design.md / phase5-summary.md</x:v>
      </x:c>
      <x:c r="S38" s="55" t="str">
        <x:v>Phase 5完了判定済み</x:v>
      </x:c>
      <x:c r="T38" s="55" t="str">
        <x:v>Phase 5完了: 2026-09-02</x:v>
      </x:c>
      <x:c r="U38" s="55"/>
      <x:c r="V38" s="55" t="str">
        <x:v>Task</x:v>
      </x:c>
      <x:c r="W38" s="55" t="str"/>
    </x:row>
    <x:row r="39" ht="15" hidden="0" customHeight="1">
      <x:c r="A39" s="55" t="str">
        <x:v>6-1</x:v>
      </x:c>
      <x:c r="B39" s="55" t="str">
        <x:v>Phase 6</x:v>
      </x:c>
      <x:c r="C39" s="55" t="str">
        <x:v>詳細設計</x:v>
      </x:c>
      <x:c r="D39" s="55" t="str">
        <x:v>実績</x:v>
      </x:c>
      <x:c r="E39" s="55" t="str">
        <x:v>全体</x:v>
      </x:c>
      <x:c r="F39" s="55" t="str">
        <x:v>詳細設計全体方針整理</x:v>
      </x:c>
      <x:c r="G39" s="55" t="str">
        <x:v>Phase 6の進め方・責務分離方針を整理</x:v>
      </x:c>
      <x:c r="H39" s="55" t="str">
        <x:v>完了</x:v>
      </x:c>
      <x:c r="I39" s="55" t="str">
        <x:v>High</x:v>
      </x:c>
      <x:c r="J39" s="55" t="str">
        <x:v>PO + AI支援</x:v>
      </x:c>
      <x:c r="K39" s="62"/>
      <x:c r="L39" s="57"/>
      <x:c r="M39" s="57"/>
      <x:c r="N39" s="57"/>
      <x:c r="O39" s="57"/>
      <x:c r="P39" s="58" t="n">
        <x:v>1</x:v>
      </x:c>
      <x:c r="Q39" s="55" t="str">
        <x:v>5-7</x:v>
      </x:c>
      <x:c r="R39" s="55" t="str">
        <x:v>Phase 6 詳細設計成果物 / phase6-summary.md</x:v>
      </x:c>
      <x:c r="S39" s="55" t="str">
        <x:v>Phase 7へ進める状態</x:v>
      </x:c>
      <x:c r="T39" s="55"/>
      <x:c r="U39" s="55"/>
      <x:c r="V39" s="55" t="str">
        <x:v>Task</x:v>
      </x:c>
      <x:c r="W39" s="55" t="str"/>
    </x:row>
    <x:row r="40" ht="21.600000381469727" hidden="0" customHeight="1">
      <x:c r="A40" s="55" t="str">
        <x:v>6-2</x:v>
      </x:c>
      <x:c r="B40" s="55" t="str">
        <x:v>Phase 6</x:v>
      </x:c>
      <x:c r="C40" s="55" t="str">
        <x:v>詳細設計</x:v>
      </x:c>
      <x:c r="D40" s="55" t="str">
        <x:v>実績</x:v>
      </x:c>
      <x:c r="E40" s="55" t="str">
        <x:v>memo</x:v>
      </x:c>
      <x:c r="F40" s="55" t="str">
        <x:v>Memo詳細設計</x:v>
      </x:c>
      <x:c r="G40" s="55" t="str">
        <x:v>MemoService・更新/削除・content_updated_at・排他制御を詳細化</x:v>
      </x:c>
      <x:c r="H40" s="55" t="str">
        <x:v>完了</x:v>
      </x:c>
      <x:c r="I40" s="55" t="str">
        <x:v>High</x:v>
      </x:c>
      <x:c r="J40" s="55" t="str">
        <x:v>PO + AI支援</x:v>
      </x:c>
      <x:c r="K40" s="62"/>
      <x:c r="L40" s="57"/>
      <x:c r="M40" s="57"/>
      <x:c r="N40" s="57"/>
      <x:c r="O40" s="57"/>
      <x:c r="P40" s="58" t="n">
        <x:v>1</x:v>
      </x:c>
      <x:c r="Q40" s="55" t="str">
        <x:v>6-1</x:v>
      </x:c>
      <x:c r="R40" s="55" t="str">
        <x:v>Phase 6 詳細設計成果物 / phase6-summary.md</x:v>
      </x:c>
      <x:c r="S40" s="55" t="str">
        <x:v>Phase 7へ進める状態</x:v>
      </x:c>
      <x:c r="T40" s="55"/>
      <x:c r="U40" s="55"/>
      <x:c r="V40" s="55" t="str">
        <x:v>Task</x:v>
      </x:c>
      <x:c r="W40" s="55" t="str"/>
    </x:row>
    <x:row r="41" ht="21.600000381469727" hidden="0" customHeight="1">
      <x:c r="A41" s="55" t="str">
        <x:v>6-3</x:v>
      </x:c>
      <x:c r="B41" s="55" t="str">
        <x:v>Phase 6</x:v>
      </x:c>
      <x:c r="C41" s="55" t="str">
        <x:v>詳細設計</x:v>
      </x:c>
      <x:c r="D41" s="55" t="str">
        <x:v>実績</x:v>
      </x:c>
      <x:c r="E41" s="55" t="str">
        <x:v>organization</x:v>
      </x:c>
      <x:c r="F41" s="55" t="str">
        <x:v>Organization詳細設計</x:v>
      </x:c>
      <x:c r="G41" s="55" t="str">
        <x:v>OrganizationService・QueryService・MemoOrganization系の責務を詳細化</x:v>
      </x:c>
      <x:c r="H41" s="55" t="str">
        <x:v>完了</x:v>
      </x:c>
      <x:c r="I41" s="55" t="str">
        <x:v>High</x:v>
      </x:c>
      <x:c r="J41" s="55" t="str">
        <x:v>PO + AI支援</x:v>
      </x:c>
      <x:c r="K41" s="62"/>
      <x:c r="L41" s="57"/>
      <x:c r="M41" s="57"/>
      <x:c r="N41" s="57"/>
      <x:c r="O41" s="57"/>
      <x:c r="P41" s="58" t="n">
        <x:v>1</x:v>
      </x:c>
      <x:c r="Q41" s="55" t="str">
        <x:v>6-2</x:v>
      </x:c>
      <x:c r="R41" s="55" t="str">
        <x:v>Phase 6 詳細設計成果物 / phase6-summary.md</x:v>
      </x:c>
      <x:c r="S41" s="55" t="str">
        <x:v>Phase 7へ進める状態</x:v>
      </x:c>
      <x:c r="T41" s="55"/>
      <x:c r="U41" s="55"/>
      <x:c r="V41" s="55" t="str">
        <x:v>Task</x:v>
      </x:c>
      <x:c r="W41" s="55" t="str"/>
    </x:row>
    <x:row r="42" ht="21.600000381469727" hidden="0" customHeight="1">
      <x:c r="A42" s="55" t="str">
        <x:v>6-4</x:v>
      </x:c>
      <x:c r="B42" s="55" t="str">
        <x:v>Phase 6</x:v>
      </x:c>
      <x:c r="C42" s="55" t="str">
        <x:v>詳細設計</x:v>
      </x:c>
      <x:c r="D42" s="55" t="str">
        <x:v>実績</x:v>
      </x:c>
      <x:c r="E42" s="55" t="str">
        <x:v>ai</x:v>
      </x:c>
      <x:c r="F42" s="55" t="str">
        <x:v>AI主要クラス責務整理</x:v>
      </x:c>
      <x:c r="G42" s="55" t="str">
        <x:v>AiProcessService / AiResultService / AiServiceClient / 上位UseCaseの責務を整理</x:v>
      </x:c>
      <x:c r="H42" s="55" t="str">
        <x:v>完了</x:v>
      </x:c>
      <x:c r="I42" s="55" t="str">
        <x:v>High</x:v>
      </x:c>
      <x:c r="J42" s="55" t="str">
        <x:v>PO + AI支援</x:v>
      </x:c>
      <x:c r="K42" s="62"/>
      <x:c r="L42" s="57"/>
      <x:c r="M42" s="57"/>
      <x:c r="N42" s="57"/>
      <x:c r="O42" s="57"/>
      <x:c r="P42" s="58" t="n">
        <x:v>1</x:v>
      </x:c>
      <x:c r="Q42" s="55" t="str">
        <x:v>6-3</x:v>
      </x:c>
      <x:c r="R42" s="55" t="str">
        <x:v>Phase 6 詳細設計成果物 / phase6-summary.md</x:v>
      </x:c>
      <x:c r="S42" s="55" t="str">
        <x:v>Phase 7へ進める状態</x:v>
      </x:c>
      <x:c r="T42" s="55"/>
      <x:c r="U42" s="55"/>
      <x:c r="V42" s="55" t="str">
        <x:v>Task</x:v>
      </x:c>
      <x:c r="W42" s="55" t="str"/>
    </x:row>
    <x:row r="43" ht="15" hidden="0" customHeight="1">
      <x:c r="A43" s="55" t="str">
        <x:v>6-5</x:v>
      </x:c>
      <x:c r="B43" s="55" t="str">
        <x:v>Phase 6</x:v>
      </x:c>
      <x:c r="C43" s="55" t="str">
        <x:v>詳細設計</x:v>
      </x:c>
      <x:c r="D43" s="55" t="str">
        <x:v>実績</x:v>
      </x:c>
      <x:c r="E43" s="55" t="str">
        <x:v>ai</x:v>
      </x:c>
      <x:c r="F43" s="55" t="str">
        <x:v>AiServiceClient詳細設計</x:v>
      </x:c>
      <x:c r="G43" s="55" t="str">
        <x:v>内部APIキー・Timeout・例外階層・通信境界を詳細化</x:v>
      </x:c>
      <x:c r="H43" s="55" t="str">
        <x:v>完了</x:v>
      </x:c>
      <x:c r="I43" s="55" t="str">
        <x:v>High</x:v>
      </x:c>
      <x:c r="J43" s="55" t="str">
        <x:v>PO + AI支援</x:v>
      </x:c>
      <x:c r="K43" s="62"/>
      <x:c r="L43" s="57"/>
      <x:c r="M43" s="57"/>
      <x:c r="N43" s="57"/>
      <x:c r="O43" s="57"/>
      <x:c r="P43" s="58" t="n">
        <x:v>1</x:v>
      </x:c>
      <x:c r="Q43" s="55" t="str">
        <x:v>6-4</x:v>
      </x:c>
      <x:c r="R43" s="55" t="str">
        <x:v>Phase 6 詳細設計成果物 / phase6-summary.md</x:v>
      </x:c>
      <x:c r="S43" s="55" t="str">
        <x:v>Phase 7へ進める状態</x:v>
      </x:c>
      <x:c r="T43" s="55"/>
      <x:c r="U43" s="55"/>
      <x:c r="V43" s="55" t="str">
        <x:v>Task</x:v>
      </x:c>
      <x:c r="W43" s="55" t="str"/>
    </x:row>
    <x:row r="44" ht="21.600000381469727" hidden="0" customHeight="1">
      <x:c r="A44" s="55" t="str">
        <x:v>6-6</x:v>
      </x:c>
      <x:c r="B44" s="55" t="str">
        <x:v>Phase 6</x:v>
      </x:c>
      <x:c r="C44" s="55" t="str">
        <x:v>詳細設計</x:v>
      </x:c>
      <x:c r="D44" s="55" t="str">
        <x:v>実績</x:v>
      </x:c>
      <x:c r="E44" s="55" t="str">
        <x:v>ai</x:v>
      </x:c>
      <x:c r="F44" s="55" t="str">
        <x:v>AiResultService詳細設計</x:v>
      </x:c>
      <x:c r="G44" s="55" t="str">
        <x:v>INITIAL / REORGANIZE結果解釈・提案判断・CURRENT反映を詳細化</x:v>
      </x:c>
      <x:c r="H44" s="55" t="str">
        <x:v>完了</x:v>
      </x:c>
      <x:c r="I44" s="55" t="str">
        <x:v>High</x:v>
      </x:c>
      <x:c r="J44" s="55" t="str">
        <x:v>PO + AI支援</x:v>
      </x:c>
      <x:c r="K44" s="62"/>
      <x:c r="L44" s="57"/>
      <x:c r="M44" s="57"/>
      <x:c r="N44" s="57"/>
      <x:c r="O44" s="57"/>
      <x:c r="P44" s="58" t="n">
        <x:v>1</x:v>
      </x:c>
      <x:c r="Q44" s="55" t="str">
        <x:v>6-5</x:v>
      </x:c>
      <x:c r="R44" s="55" t="str">
        <x:v>Phase 6 詳細設計成果物 / phase6-summary.md</x:v>
      </x:c>
      <x:c r="S44" s="55" t="str">
        <x:v>Phase 7へ進める状態</x:v>
      </x:c>
      <x:c r="T44" s="55"/>
      <x:c r="U44" s="55"/>
      <x:c r="V44" s="55" t="str">
        <x:v>Task</x:v>
      </x:c>
      <x:c r="W44" s="55" t="str"/>
    </x:row>
    <x:row r="45" ht="15" hidden="0" customHeight="1">
      <x:c r="A45" s="55" t="str">
        <x:v>6-7</x:v>
      </x:c>
      <x:c r="B45" s="55" t="str">
        <x:v>Phase 6</x:v>
      </x:c>
      <x:c r="C45" s="55" t="str">
        <x:v>詳細設計</x:v>
      </x:c>
      <x:c r="D45" s="55" t="str">
        <x:v>実績</x:v>
      </x:c>
      <x:c r="E45" s="55" t="str">
        <x:v>ai</x:v>
      </x:c>
      <x:c r="F45" s="55" t="str">
        <x:v>AiProcessService詳細設計</x:v>
      </x:c>
      <x:c r="G45" s="55" t="str">
        <x:v>状態遷移・proposal・FIFO・残留PROCESSING回復を詳細化</x:v>
      </x:c>
      <x:c r="H45" s="55" t="str">
        <x:v>完了</x:v>
      </x:c>
      <x:c r="I45" s="55" t="str">
        <x:v>High</x:v>
      </x:c>
      <x:c r="J45" s="55" t="str">
        <x:v>PO + AI支援</x:v>
      </x:c>
      <x:c r="K45" s="62"/>
      <x:c r="L45" s="57"/>
      <x:c r="M45" s="57"/>
      <x:c r="N45" s="57"/>
      <x:c r="O45" s="57"/>
      <x:c r="P45" s="58" t="n">
        <x:v>1</x:v>
      </x:c>
      <x:c r="Q45" s="55" t="str">
        <x:v>6-6</x:v>
      </x:c>
      <x:c r="R45" s="55" t="str">
        <x:v>Phase 6 詳細設計成果物 / phase6-summary.md</x:v>
      </x:c>
      <x:c r="S45" s="55" t="str">
        <x:v>Phase 7へ進める状態</x:v>
      </x:c>
      <x:c r="T45" s="55"/>
      <x:c r="U45" s="55"/>
      <x:c r="V45" s="55" t="str">
        <x:v>Task</x:v>
      </x:c>
      <x:c r="W45" s="55" t="str"/>
    </x:row>
    <x:row r="46" ht="21.600000381469727" hidden="0" customHeight="1">
      <x:c r="A46" s="55" t="str">
        <x:v>6-8</x:v>
      </x:c>
      <x:c r="B46" s="55" t="str">
        <x:v>Phase 6</x:v>
      </x:c>
      <x:c r="C46" s="55" t="str">
        <x:v>詳細設計</x:v>
      </x:c>
      <x:c r="D46" s="55" t="str">
        <x:v>実績</x:v>
      </x:c>
      <x:c r="E46" s="55" t="str">
        <x:v>Transaction</x:v>
      </x:c>
      <x:c r="F46" s="55" t="str">
        <x:v>トランザクション・排他制御確定</x:v>
      </x:c>
      <x:c r="G46" s="55" t="str">
        <x:v>READ_COMMITTED・memo悲観ロック・3秒待ち・Tx境界を確定</x:v>
      </x:c>
      <x:c r="H46" s="55" t="str">
        <x:v>完了</x:v>
      </x:c>
      <x:c r="I46" s="55" t="str">
        <x:v>High</x:v>
      </x:c>
      <x:c r="J46" s="55" t="str">
        <x:v>PO + AI支援</x:v>
      </x:c>
      <x:c r="K46" s="62"/>
      <x:c r="L46" s="57"/>
      <x:c r="M46" s="57"/>
      <x:c r="N46" s="57"/>
      <x:c r="O46" s="57"/>
      <x:c r="P46" s="58" t="n">
        <x:v>1</x:v>
      </x:c>
      <x:c r="Q46" s="55" t="str">
        <x:v>6-7</x:v>
      </x:c>
      <x:c r="R46" s="55" t="str">
        <x:v>Phase 6 詳細設計成果物 / phase6-summary.md</x:v>
      </x:c>
      <x:c r="S46" s="55" t="str">
        <x:v>Phase 7へ進める状態</x:v>
      </x:c>
      <x:c r="T46" s="55"/>
      <x:c r="U46" s="55"/>
      <x:c r="V46" s="55" t="str">
        <x:v>Task</x:v>
      </x:c>
      <x:c r="W46" s="55" t="str"/>
    </x:row>
    <x:row r="47" ht="15" hidden="0" customHeight="1">
      <x:c r="A47" s="55" t="str">
        <x:v>6-9</x:v>
      </x:c>
      <x:c r="B47" s="55" t="str">
        <x:v>Phase 6</x:v>
      </x:c>
      <x:c r="C47" s="55" t="str">
        <x:v>詳細設計</x:v>
      </x:c>
      <x:c r="D47" s="55" t="str">
        <x:v>実績</x:v>
      </x:c>
      <x:c r="E47" s="55" t="str">
        <x:v>状態管理</x:v>
      </x:c>
      <x:c r="F47" s="55" t="str">
        <x:v>proposal / outdated / CURRENT来歴確定</x:v>
      </x:c>
      <x:c r="G47" s="55" t="str">
        <x:v>proposed_result方式・ai_process_id来歴・outdated基準を確定</x:v>
      </x:c>
      <x:c r="H47" s="55" t="str">
        <x:v>完了</x:v>
      </x:c>
      <x:c r="I47" s="55" t="str">
        <x:v>High</x:v>
      </x:c>
      <x:c r="J47" s="55" t="str">
        <x:v>PO + AI支援</x:v>
      </x:c>
      <x:c r="K47" s="62"/>
      <x:c r="L47" s="57"/>
      <x:c r="M47" s="57"/>
      <x:c r="N47" s="57"/>
      <x:c r="O47" s="57"/>
      <x:c r="P47" s="58" t="n">
        <x:v>1</x:v>
      </x:c>
      <x:c r="Q47" s="55" t="str">
        <x:v>6-8</x:v>
      </x:c>
      <x:c r="R47" s="55" t="str">
        <x:v>Phase 6 詳細設計成果物 / phase6-summary.md</x:v>
      </x:c>
      <x:c r="S47" s="55" t="str">
        <x:v>Phase 7へ進める状態</x:v>
      </x:c>
      <x:c r="T47" s="55"/>
      <x:c r="U47" s="55"/>
      <x:c r="V47" s="55" t="str">
        <x:v>Task</x:v>
      </x:c>
      <x:c r="W47" s="55" t="str"/>
    </x:row>
    <x:row r="48" ht="15" hidden="0" customHeight="1">
      <x:c r="A48" s="55" t="str">
        <x:v>6-10</x:v>
      </x:c>
      <x:c r="B48" s="55" t="str">
        <x:v>Phase 6</x:v>
      </x:c>
      <x:c r="C48" s="55" t="str">
        <x:v>詳細設計</x:v>
      </x:c>
      <x:c r="D48" s="55" t="str">
        <x:v>実績</x:v>
      </x:c>
      <x:c r="E48" s="55" t="str">
        <x:v>反映</x:v>
      </x:c>
      <x:c r="F48" s="55" t="str">
        <x:v>Phase 5成果物へ詳細設計反映</x:v>
      </x:c>
      <x:c r="G48" s="55" t="str">
        <x:v>DB / API / 画面 / Phase 5 summaryへPhase 6確定事項を反映</x:v>
      </x:c>
      <x:c r="H48" s="55" t="str">
        <x:v>完了</x:v>
      </x:c>
      <x:c r="I48" s="55" t="str">
        <x:v>High</x:v>
      </x:c>
      <x:c r="J48" s="55" t="str">
        <x:v>PO + AI支援</x:v>
      </x:c>
      <x:c r="K48" s="62"/>
      <x:c r="L48" s="57"/>
      <x:c r="M48" s="57"/>
      <x:c r="N48" s="57"/>
      <x:c r="O48" s="57"/>
      <x:c r="P48" s="58" t="n">
        <x:v>1</x:v>
      </x:c>
      <x:c r="Q48" s="55" t="str">
        <x:v>6-9</x:v>
      </x:c>
      <x:c r="R48" s="55" t="str">
        <x:v>Phase 6 詳細設計成果物 / phase6-summary.md</x:v>
      </x:c>
      <x:c r="S48" s="55" t="str">
        <x:v>Phase 7へ進める状態</x:v>
      </x:c>
      <x:c r="T48" s="55"/>
      <x:c r="U48" s="55"/>
      <x:c r="V48" s="55" t="str">
        <x:v>Task</x:v>
      </x:c>
      <x:c r="W48" s="55" t="str"/>
    </x:row>
    <x:row r="49" ht="15" hidden="0" customHeight="1">
      <x:c r="A49" s="55" t="str">
        <x:v>6-11</x:v>
      </x:c>
      <x:c r="B49" s="55" t="str">
        <x:v>Phase 6</x:v>
      </x:c>
      <x:c r="C49" s="55" t="str">
        <x:v>詳細設計</x:v>
      </x:c>
      <x:c r="D49" s="55" t="str">
        <x:v>実績</x:v>
      </x:c>
      <x:c r="E49" s="55" t="str">
        <x:v>レビュー</x:v>
      </x:c>
      <x:c r="F49" s="55" t="str">
        <x:v>Claude最終完了レビュー</x:v>
      </x:c>
      <x:c r="G49" s="55" t="str">
        <x:v>10成果物を横断レビューしCritical/High/Medium/Lowを確認</x:v>
      </x:c>
      <x:c r="H49" s="55" t="str">
        <x:v>完了</x:v>
      </x:c>
      <x:c r="I49" s="55" t="str">
        <x:v>High</x:v>
      </x:c>
      <x:c r="J49" s="55" t="str">
        <x:v>PO + AI支援</x:v>
      </x:c>
      <x:c r="K49" s="62"/>
      <x:c r="L49" s="57"/>
      <x:c r="M49" s="57"/>
      <x:c r="N49" s="57"/>
      <x:c r="O49" s="57"/>
      <x:c r="P49" s="58" t="n">
        <x:v>1</x:v>
      </x:c>
      <x:c r="Q49" s="55" t="str">
        <x:v>6-10</x:v>
      </x:c>
      <x:c r="R49" s="55" t="str">
        <x:v>Phase 6 詳細設計成果物 / phase6-summary.md</x:v>
      </x:c>
      <x:c r="S49" s="55" t="str">
        <x:v>Phase 7へ進める状態</x:v>
      </x:c>
      <x:c r="T49" s="55"/>
      <x:c r="U49" s="55"/>
      <x:c r="V49" s="55" t="str">
        <x:v>Task</x:v>
      </x:c>
      <x:c r="W49" s="55" t="str"/>
    </x:row>
    <x:row r="50" ht="15" hidden="0" customHeight="1">
      <x:c r="A50" s="55" t="str">
        <x:v>6-12</x:v>
      </x:c>
      <x:c r="B50" s="55" t="str">
        <x:v>Phase 6</x:v>
      </x:c>
      <x:c r="C50" s="55" t="str">
        <x:v>詳細設計</x:v>
      </x:c>
      <x:c r="D50" s="55" t="str">
        <x:v>実績</x:v>
      </x:c>
      <x:c r="E50" s="55" t="str">
        <x:v>レビュー</x:v>
      </x:c>
      <x:c r="F50" s="55" t="str">
        <x:v>Gemini技術成立性レビュー</x:v>
      </x:c>
      <x:c r="G50" s="55" t="str">
        <x:v>Java / Spring Boot / PostgreSQLでの実装可能性を確認</x:v>
      </x:c>
      <x:c r="H50" s="55" t="str">
        <x:v>完了</x:v>
      </x:c>
      <x:c r="I50" s="55" t="str">
        <x:v>High</x:v>
      </x:c>
      <x:c r="J50" s="55" t="str">
        <x:v>PO + AI支援</x:v>
      </x:c>
      <x:c r="K50" s="62"/>
      <x:c r="L50" s="57"/>
      <x:c r="M50" s="57"/>
      <x:c r="N50" s="57"/>
      <x:c r="O50" s="57"/>
      <x:c r="P50" s="58" t="n">
        <x:v>1</x:v>
      </x:c>
      <x:c r="Q50" s="55" t="str">
        <x:v>6-11</x:v>
      </x:c>
      <x:c r="R50" s="55" t="str">
        <x:v>Phase 6 詳細設計成果物 / phase6-summary.md</x:v>
      </x:c>
      <x:c r="S50" s="55" t="str">
        <x:v>Phase 7へ進める状態</x:v>
      </x:c>
      <x:c r="T50" s="55"/>
      <x:c r="U50" s="55"/>
      <x:c r="V50" s="55" t="str">
        <x:v>Task</x:v>
      </x:c>
      <x:c r="W50" s="55" t="str"/>
    </x:row>
    <x:row r="51" ht="21.600000381469727" hidden="0" customHeight="1">
      <x:c r="A51" s="55" t="str">
        <x:v>6-13</x:v>
      </x:c>
      <x:c r="B51" s="55" t="str">
        <x:v>Phase 6</x:v>
      </x:c>
      <x:c r="C51" s="55" t="str">
        <x:v>詳細設計</x:v>
      </x:c>
      <x:c r="D51" s="55" t="str">
        <x:v>実績</x:v>
      </x:c>
      <x:c r="E51" s="55" t="str">
        <x:v>修正</x:v>
      </x:c>
      <x:c r="F51" s="55" t="str">
        <x:v>最終レビュー指摘反映</x:v>
      </x:c>
      <x:c r="G51" s="55" t="str">
        <x:v>循環依存・CURRENT来歴・上位UseCase等の指摘を最終成果物へ反映</x:v>
      </x:c>
      <x:c r="H51" s="55" t="str">
        <x:v>完了</x:v>
      </x:c>
      <x:c r="I51" s="55" t="str">
        <x:v>High</x:v>
      </x:c>
      <x:c r="J51" s="55" t="str">
        <x:v>PO + AI支援</x:v>
      </x:c>
      <x:c r="K51" s="62"/>
      <x:c r="L51" s="57"/>
      <x:c r="M51" s="57"/>
      <x:c r="N51" s="57"/>
      <x:c r="O51" s="57"/>
      <x:c r="P51" s="58" t="n">
        <x:v>1</x:v>
      </x:c>
      <x:c r="Q51" s="55" t="str">
        <x:v>6-12</x:v>
      </x:c>
      <x:c r="R51" s="55" t="str">
        <x:v>Phase 6 詳細設計成果物 / phase6-summary.md</x:v>
      </x:c>
      <x:c r="S51" s="55" t="str">
        <x:v>Phase 7へ進める状態</x:v>
      </x:c>
      <x:c r="T51" s="55"/>
      <x:c r="U51" s="55"/>
      <x:c r="V51" s="55" t="str">
        <x:v>Task</x:v>
      </x:c>
      <x:c r="W51" s="55" t="str"/>
    </x:row>
    <x:row r="52" ht="15" hidden="0" customHeight="1">
      <x:c r="A52" s="55" t="str">
        <x:v>6-14</x:v>
      </x:c>
      <x:c r="B52" s="55" t="str">
        <x:v>Phase 6</x:v>
      </x:c>
      <x:c r="C52" s="55" t="str">
        <x:v>詳細設計</x:v>
      </x:c>
      <x:c r="D52" s="55" t="str">
        <x:v>実績</x:v>
      </x:c>
      <x:c r="E52" s="55" t="str">
        <x:v>確定</x:v>
      </x:c>
      <x:c r="F52" s="55" t="str">
        <x:v>Phase 6成果物・完了記録確定</x:v>
      </x:c>
      <x:c r="G52" s="55" t="str">
        <x:v>10ファイルとphase6-summary.mdを正式版として確定</x:v>
      </x:c>
      <x:c r="H52" s="55" t="str">
        <x:v>完了</x:v>
      </x:c>
      <x:c r="I52" s="55" t="str">
        <x:v>High</x:v>
      </x:c>
      <x:c r="J52" s="55" t="str">
        <x:v>PO + AI支援</x:v>
      </x:c>
      <x:c r="K52" s="62"/>
      <x:c r="L52" s="57"/>
      <x:c r="M52" s="57"/>
      <x:c r="N52" s="57"/>
      <x:c r="O52" s="57" t="str">
        <x:v>2026-10-07</x:v>
      </x:c>
      <x:c r="P52" s="58" t="n">
        <x:v>1</x:v>
      </x:c>
      <x:c r="Q52" s="55" t="str">
        <x:v>6-13</x:v>
      </x:c>
      <x:c r="R52" s="55" t="str">
        <x:v>Phase 6 詳細設計成果物 / phase6-summary.md</x:v>
      </x:c>
      <x:c r="S52" s="55" t="str">
        <x:v>Phase 7へ進める状態</x:v>
      </x:c>
      <x:c r="T52" s="55" t="str">
        <x:v>Phase 6正式完了: 2026-10-07</x:v>
      </x:c>
      <x:c r="U52" s="55"/>
      <x:c r="V52" s="55" t="str">
        <x:v>Task</x:v>
      </x:c>
      <x:c r="W52" s="55" t="str"/>
    </x:row>
    <x:row r="53" ht="21.600000381469727" hidden="0" customHeight="1">
      <x:c r="A53" s="55" t="str">
        <x:v>7-1</x:v>
      </x:c>
      <x:c r="B53" s="55" t="str">
        <x:v>Phase 7</x:v>
      </x:c>
      <x:c r="C53" s="55" t="str">
        <x:v>実装タスク分解</x:v>
      </x:c>
      <x:c r="D53" s="55" t="str">
        <x:v>実績</x:v>
      </x:c>
      <x:c r="E53" s="55" t="str">
        <x:v>分解</x:v>
      </x:c>
      <x:c r="F53" s="55" t="str">
        <x:v>実装単位洗い出し</x:v>
      </x:c>
      <x:c r="G53" s="55" t="str">
        <x:v>Phase 6設計から実装単位を洗い出し、既存WBSとの差分を整理</x:v>
      </x:c>
      <x:c r="H53" s="55" t="str">
        <x:v>完了</x:v>
      </x:c>
      <x:c r="I53" s="55" t="str">
        <x:v>High</x:v>
      </x:c>
      <x:c r="J53" s="55" t="str">
        <x:v>PO + AI支援</x:v>
      </x:c>
      <x:c r="K53" s="62" t="n">
        <x:v>0.5</x:v>
      </x:c>
      <x:c r="L53" s="57"/>
      <x:c r="M53" s="57"/>
      <x:c r="N53" s="57"/>
      <x:c r="O53" s="57"/>
      <x:c r="P53" s="58" t="n">
        <x:v>1</x:v>
      </x:c>
      <x:c r="Q53" s="55" t="str">
        <x:v>6-14</x:v>
      </x:c>
      <x:c r="R53" s="55" t="str">
        <x:v>個人開発_WBS_v0.3.xlsx / phase7-summary.md</x:v>
      </x:c>
      <x:c r="S53" s="55" t="str">
        <x:v>Phase 8 Wave 0-Aへ着手可能</x:v>
      </x:c>
      <x:c r="T53" s="55"/>
      <x:c r="U53" s="55"/>
      <x:c r="V53" s="55" t="str">
        <x:v>Task</x:v>
      </x:c>
      <x:c r="W53" s="55" t="str">
        <x:v>1日=4h</x:v>
      </x:c>
    </x:row>
    <x:row r="54" ht="21.600000381469727" hidden="0" customHeight="1">
      <x:c r="A54" s="55" t="str">
        <x:v>7-2</x:v>
      </x:c>
      <x:c r="B54" s="55" t="str">
        <x:v>Phase 7</x:v>
      </x:c>
      <x:c r="C54" s="55" t="str">
        <x:v>実装タスク分解</x:v>
      </x:c>
      <x:c r="D54" s="55" t="str">
        <x:v>実績</x:v>
      </x:c>
      <x:c r="E54" s="55" t="str">
        <x:v>依存</x:v>
      </x:c>
      <x:c r="F54" s="55" t="str">
        <x:v>実装依存関係整理</x:v>
      </x:c>
      <x:c r="G54" s="55" t="str">
        <x:v>Memo / Organization / AiProcess / AiResult / Client / UseCaseの依存関係を整理</x:v>
      </x:c>
      <x:c r="H54" s="55" t="str">
        <x:v>完了</x:v>
      </x:c>
      <x:c r="I54" s="55" t="str">
        <x:v>High</x:v>
      </x:c>
      <x:c r="J54" s="55" t="str">
        <x:v>PO + AI支援</x:v>
      </x:c>
      <x:c r="K54" s="62" t="n">
        <x:v>0.5</x:v>
      </x:c>
      <x:c r="L54" s="57"/>
      <x:c r="M54" s="57"/>
      <x:c r="N54" s="57"/>
      <x:c r="O54" s="57"/>
      <x:c r="P54" s="58" t="n">
        <x:v>1</x:v>
      </x:c>
      <x:c r="Q54" s="55" t="str">
        <x:v>7-1</x:v>
      </x:c>
      <x:c r="R54" s="55" t="str">
        <x:v>個人開発_WBS_v0.3.xlsx / phase7-summary.md</x:v>
      </x:c>
      <x:c r="S54" s="55" t="str">
        <x:v>Phase 8 Wave 0-Aへ着手可能</x:v>
      </x:c>
      <x:c r="T54" s="55"/>
      <x:c r="U54" s="55"/>
      <x:c r="V54" s="55" t="str">
        <x:v>Task</x:v>
      </x:c>
      <x:c r="W54" s="55" t="str">
        <x:v>1日=4h</x:v>
      </x:c>
    </x:row>
    <x:row r="55" ht="15" hidden="0" customHeight="1">
      <x:c r="A55" s="55" t="str">
        <x:v>7-3</x:v>
      </x:c>
      <x:c r="B55" s="55" t="str">
        <x:v>Phase 7</x:v>
      </x:c>
      <x:c r="C55" s="55" t="str">
        <x:v>実装タスク分解</x:v>
      </x:c>
      <x:c r="D55" s="55" t="str">
        <x:v>実績</x:v>
      </x:c>
      <x:c r="E55" s="55" t="str">
        <x:v>順序</x:v>
      </x:c>
      <x:c r="F55" s="55" t="str">
        <x:v>実装順序決定</x:v>
      </x:c>
      <x:c r="G55" s="55" t="str">
        <x:v>ハイブリッド方式とWave順序を確定</x:v>
      </x:c>
      <x:c r="H55" s="55" t="str">
        <x:v>完了</x:v>
      </x:c>
      <x:c r="I55" s="55" t="str">
        <x:v>High</x:v>
      </x:c>
      <x:c r="J55" s="55" t="str">
        <x:v>PO + AI支援</x:v>
      </x:c>
      <x:c r="K55" s="62" t="n">
        <x:v>0.5</x:v>
      </x:c>
      <x:c r="L55" s="57"/>
      <x:c r="M55" s="57"/>
      <x:c r="N55" s="57"/>
      <x:c r="O55" s="57"/>
      <x:c r="P55" s="58" t="n">
        <x:v>1</x:v>
      </x:c>
      <x:c r="Q55" s="55" t="str">
        <x:v>7-2</x:v>
      </x:c>
      <x:c r="R55" s="55" t="str">
        <x:v>個人開発_WBS_v0.3.xlsx / phase7-summary.md</x:v>
      </x:c>
      <x:c r="S55" s="55" t="str">
        <x:v>Phase 8 Wave 0-Aへ着手可能</x:v>
      </x:c>
      <x:c r="T55" s="55"/>
      <x:c r="U55" s="55"/>
      <x:c r="V55" s="55" t="str">
        <x:v>Task</x:v>
      </x:c>
      <x:c r="W55" s="55" t="str">
        <x:v>1日=4h</x:v>
      </x:c>
    </x:row>
    <x:row r="56" ht="15" hidden="0" customHeight="1">
      <x:c r="A56" s="55" t="str">
        <x:v>7-4</x:v>
      </x:c>
      <x:c r="B56" s="55" t="str">
        <x:v>Phase 7</x:v>
      </x:c>
      <x:c r="C56" s="55" t="str">
        <x:v>実装タスク分解</x:v>
      </x:c>
      <x:c r="D56" s="55" t="str">
        <x:v>実績</x:v>
      </x:c>
      <x:c r="E56" s="55" t="str">
        <x:v>管理</x:v>
      </x:c>
      <x:c r="F56" s="55" t="str">
        <x:v>実装タスク化</x:v>
      </x:c>
      <x:c r="G56" s="55" t="str">
        <x:v>Phase 8のWave・Issue単位・Milestoneを具体化</x:v>
      </x:c>
      <x:c r="H56" s="55" t="str">
        <x:v>完了</x:v>
      </x:c>
      <x:c r="I56" s="55" t="str">
        <x:v>High</x:v>
      </x:c>
      <x:c r="J56" s="55" t="str">
        <x:v>PO + AI支援</x:v>
      </x:c>
      <x:c r="K56" s="62" t="n">
        <x:v>0.5</x:v>
      </x:c>
      <x:c r="L56" s="57"/>
      <x:c r="M56" s="57"/>
      <x:c r="N56" s="57"/>
      <x:c r="O56" s="57"/>
      <x:c r="P56" s="58" t="n">
        <x:v>1</x:v>
      </x:c>
      <x:c r="Q56" s="55" t="str">
        <x:v>7-3</x:v>
      </x:c>
      <x:c r="R56" s="55" t="str">
        <x:v>個人開発_WBS_v0.3.xlsx / phase7-summary.md</x:v>
      </x:c>
      <x:c r="S56" s="55" t="str">
        <x:v>Phase 8 Wave 0-Aへ着手可能</x:v>
      </x:c>
      <x:c r="T56" s="55"/>
      <x:c r="U56" s="55"/>
      <x:c r="V56" s="55" t="str">
        <x:v>Task</x:v>
      </x:c>
      <x:c r="W56" s="55" t="str">
        <x:v>1日=4h</x:v>
      </x:c>
    </x:row>
    <x:row r="57" ht="21.600000381469727" hidden="0" customHeight="1">
      <x:c r="A57" s="55" t="str">
        <x:v>7-5</x:v>
      </x:c>
      <x:c r="B57" s="55" t="str">
        <x:v>Phase 7</x:v>
      </x:c>
      <x:c r="C57" s="55" t="str">
        <x:v>実装タスク分解</x:v>
      </x:c>
      <x:c r="D57" s="55" t="str">
        <x:v>実績</x:v>
      </x:c>
      <x:c r="E57" s="55" t="str">
        <x:v>完了条件</x:v>
      </x:c>
      <x:c r="F57" s="55" t="str">
        <x:v>Definition of Done確定</x:v>
      </x:c>
      <x:c r="G57" s="55" t="str">
        <x:v>共通DoD・Developer Test・Wave記録・Milestone完了条件を定義</x:v>
      </x:c>
      <x:c r="H57" s="55" t="str">
        <x:v>完了</x:v>
      </x:c>
      <x:c r="I57" s="55" t="str">
        <x:v>High</x:v>
      </x:c>
      <x:c r="J57" s="55" t="str">
        <x:v>PO + AI支援</x:v>
      </x:c>
      <x:c r="K57" s="62" t="n">
        <x:v>0.5</x:v>
      </x:c>
      <x:c r="L57" s="57"/>
      <x:c r="M57" s="57"/>
      <x:c r="N57" s="57"/>
      <x:c r="O57" s="57"/>
      <x:c r="P57" s="58" t="n">
        <x:v>1</x:v>
      </x:c>
      <x:c r="Q57" s="55" t="str">
        <x:v>7-4</x:v>
      </x:c>
      <x:c r="R57" s="55" t="str">
        <x:v>個人開発_WBS_v0.3.xlsx / phase7-summary.md</x:v>
      </x:c>
      <x:c r="S57" s="55" t="str">
        <x:v>Phase 8 Wave 0-Aへ着手可能</x:v>
      </x:c>
      <x:c r="T57" s="55"/>
      <x:c r="U57" s="55"/>
      <x:c r="V57" s="55" t="str">
        <x:v>Task</x:v>
      </x:c>
      <x:c r="W57" s="55" t="str">
        <x:v>1日=4h</x:v>
      </x:c>
    </x:row>
    <x:row r="58" ht="21.600000381469727" hidden="0" customHeight="1">
      <x:c r="A58" s="55" t="str">
        <x:v>7-6</x:v>
      </x:c>
      <x:c r="B58" s="55" t="str">
        <x:v>Phase 7</x:v>
      </x:c>
      <x:c r="C58" s="55" t="str">
        <x:v>実装タスク分解</x:v>
      </x:c>
      <x:c r="D58" s="55" t="str">
        <x:v>実績</x:v>
      </x:c>
      <x:c r="E58" s="55" t="str">
        <x:v>レビュー</x:v>
      </x:c>
      <x:c r="F58" s="55" t="str">
        <x:v>実装開始レビュー</x:v>
      </x:c>
      <x:c r="G58" s="55" t="str">
        <x:v>Claudeによるタスク漏れ・依存・順序・実装開始条件レビュー</x:v>
      </x:c>
      <x:c r="H58" s="55" t="str">
        <x:v>完了</x:v>
      </x:c>
      <x:c r="I58" s="55" t="str">
        <x:v>High</x:v>
      </x:c>
      <x:c r="J58" s="55" t="str">
        <x:v>PO + AI支援</x:v>
      </x:c>
      <x:c r="K58" s="62" t="n">
        <x:v>0.5</x:v>
      </x:c>
      <x:c r="L58" s="57"/>
      <x:c r="M58" s="57"/>
      <x:c r="N58" s="57"/>
      <x:c r="O58" s="57"/>
      <x:c r="P58" s="58" t="n">
        <x:v>1</x:v>
      </x:c>
      <x:c r="Q58" s="55" t="str">
        <x:v>7-5</x:v>
      </x:c>
      <x:c r="R58" s="55" t="str">
        <x:v>個人開発_WBS_v0.3.xlsx / phase7-summary.md</x:v>
      </x:c>
      <x:c r="S58" s="55" t="str">
        <x:v>Phase 8 Wave 0-Aへ着手可能</x:v>
      </x:c>
      <x:c r="T58" s="55"/>
      <x:c r="U58" s="55"/>
      <x:c r="V58" s="55" t="str">
        <x:v>Task</x:v>
      </x:c>
      <x:c r="W58" s="55" t="str">
        <x:v>1日=4h</x:v>
      </x:c>
    </x:row>
    <x:row r="59" ht="15" hidden="0" customHeight="1">
      <x:c r="A59" s="55" t="str">
        <x:v>7-7</x:v>
      </x:c>
      <x:c r="B59" s="55" t="str">
        <x:v>Phase 7</x:v>
      </x:c>
      <x:c r="C59" s="55" t="str">
        <x:v>実装タスク分解</x:v>
      </x:c>
      <x:c r="D59" s="55" t="str">
        <x:v>実績</x:v>
      </x:c>
      <x:c r="E59" s="55" t="str">
        <x:v>確定</x:v>
      </x:c>
      <x:c r="F59" s="55" t="str">
        <x:v>Phase 7成果物確定</x:v>
      </x:c>
      <x:c r="G59" s="55" t="str">
        <x:v>レビュー指摘を反映しWBS v0.3・phase7-summaryを確定</x:v>
      </x:c>
      <x:c r="H59" s="55" t="str">
        <x:v>完了</x:v>
      </x:c>
      <x:c r="I59" s="55" t="str">
        <x:v>High</x:v>
      </x:c>
      <x:c r="J59" s="55" t="str">
        <x:v>PO + AI支援</x:v>
      </x:c>
      <x:c r="K59" s="62" t="n">
        <x:v>0.5</x:v>
      </x:c>
      <x:c r="L59" s="57"/>
      <x:c r="M59" s="57"/>
      <x:c r="N59" s="57"/>
      <x:c r="O59" s="57" t="str">
        <x:v>2026-10-07</x:v>
      </x:c>
      <x:c r="P59" s="58" t="n">
        <x:v>1</x:v>
      </x:c>
      <x:c r="Q59" s="55" t="str">
        <x:v>7-6</x:v>
      </x:c>
      <x:c r="R59" s="55" t="str">
        <x:v>個人開発_WBS_v0.3.xlsx / phase7-summary.md</x:v>
      </x:c>
      <x:c r="S59" s="55" t="str">
        <x:v>Phase 8 Wave 0-Aへ着手可能</x:v>
      </x:c>
      <x:c r="T59" s="55" t="str">
        <x:v>Phase 7正式完了: 2026-10-07</x:v>
      </x:c>
      <x:c r="U59" s="55"/>
      <x:c r="V59" s="55" t="str">
        <x:v>Task</x:v>
      </x:c>
      <x:c r="W59" s="55" t="str">
        <x:v>1日=4h</x:v>
      </x:c>
    </x:row>
    <x:row r="60" ht="32.400001525878906" hidden="0" customHeight="1">
      <x:c r="A60" s="55" t="str">
        <x:v>8-0A-01</x:v>
      </x:c>
      <x:c r="B60" s="55" t="str">
        <x:v>Phase 8</x:v>
      </x:c>
      <x:c r="C60" s="55" t="str">
        <x:v>新規実装</x:v>
      </x:c>
      <x:c r="D60" s="55" t="str">
        <x:v>予定</x:v>
      </x:c>
      <x:c r="E60" s="55" t="str">
        <x:v>認証</x:v>
      </x:c>
      <x:c r="F60" s="55" t="str">
        <x:v>認証・ユーザー基盤の実装前確認</x:v>
      </x:c>
      <x:c r="G60" s="55" t="str">
        <x:v>Session + Cookie、ログインユーザー解決、所有者404の実装範囲をPhase 5/6設計と照合</x:v>
      </x:c>
      <x:c r="H60" s="55" t="str">
        <x:v>未着手</x:v>
      </x:c>
      <x:c r="I60" s="55" t="str">
        <x:v>High</x:v>
      </x:c>
      <x:c r="J60" s="55" t="str">
        <x:v>PO + AI支援</x:v>
      </x:c>
      <x:c r="K60" s="62" t="n">
        <x:v>0.25</x:v>
      </x:c>
      <x:c r="L60" s="57"/>
      <x:c r="M60" s="57"/>
      <x:c r="N60" s="57"/>
      <x:c r="O60" s="57"/>
      <x:c r="P60" s="58" t="n">
        <x:v>0</x:v>
      </x:c>
      <x:c r="Q60" s="55" t="str">
        <x:v>7-7</x:v>
      </x:c>
      <x:c r="R60" s="55" t="str">
        <x:v>ソースコード / Developer Test / docs/development/phase8-wave0a-foundation-decisions.md</x:v>
      </x:c>
      <x:c r="S60" s="55" t="str">
        <x:v>共通DoDを満たし、Wave実装記録を更新</x:v>
      </x:c>
      <x:c r="T60" s="55"/>
      <x:c r="U60" s="55" t="str">
        <x:v>Wave 0-A</x:v>
      </x:c>
      <x:c r="V60" s="55" t="str">
        <x:v>Task</x:v>
      </x:c>
      <x:c r="W60" s="55" t="str">
        <x:v>1日=4h</x:v>
      </x:c>
    </x:row>
    <x:row r="61" ht="32.400001525878906" hidden="0" customHeight="1">
      <x:c r="A61" s="55" t="str">
        <x:v>8-0A-02</x:v>
      </x:c>
      <x:c r="B61" s="55" t="str">
        <x:v>Phase 8</x:v>
      </x:c>
      <x:c r="C61" s="55" t="str">
        <x:v>新規実装</x:v>
      </x:c>
      <x:c r="D61" s="55" t="str">
        <x:v>予定</x:v>
      </x:c>
      <x:c r="E61" s="55" t="str">
        <x:v>テスト基盤</x:v>
      </x:c>
      <x:c r="F61" s="55" t="str">
        <x:v>テストDB方式確定</x:v>
      </x:c>
      <x:c r="G61" s="55" t="str">
        <x:v>Developer Testで実PostgreSQLを使う方式を確定しDev Container/Docker接続を確認</x:v>
      </x:c>
      <x:c r="H61" s="55" t="str">
        <x:v>未着手</x:v>
      </x:c>
      <x:c r="I61" s="55" t="str">
        <x:v>High</x:v>
      </x:c>
      <x:c r="J61" s="55" t="str">
        <x:v>PO + AI支援</x:v>
      </x:c>
      <x:c r="K61" s="62" t="n">
        <x:v>0.5</x:v>
      </x:c>
      <x:c r="L61" s="57"/>
      <x:c r="M61" s="57"/>
      <x:c r="N61" s="57"/>
      <x:c r="O61" s="57"/>
      <x:c r="P61" s="58" t="n">
        <x:v>0</x:v>
      </x:c>
      <x:c r="Q61" s="55" t="str">
        <x:v>8-0A-01</x:v>
      </x:c>
      <x:c r="R61" s="55" t="str">
        <x:v>ソースコード / Developer Test / docs/development/phase8-wave0a-foundation-decisions.md</x:v>
      </x:c>
      <x:c r="S61" s="55" t="str">
        <x:v>共通DoDを満たし、Wave実装記録を更新</x:v>
      </x:c>
      <x:c r="T61" s="55"/>
      <x:c r="U61" s="55" t="str">
        <x:v>Wave 0-A</x:v>
      </x:c>
      <x:c r="V61" s="55" t="str">
        <x:v>Task</x:v>
      </x:c>
      <x:c r="W61" s="55" t="str">
        <x:v>1日=4h</x:v>
      </x:c>
    </x:row>
    <x:row r="62" ht="32.400001525878906" hidden="0" customHeight="1">
      <x:c r="A62" s="55" t="str">
        <x:v>8-0A-03</x:v>
      </x:c>
      <x:c r="B62" s="55" t="str">
        <x:v>Phase 8</x:v>
      </x:c>
      <x:c r="C62" s="55" t="str">
        <x:v>新規実装</x:v>
      </x:c>
      <x:c r="D62" s="55" t="str">
        <x:v>予定</x:v>
      </x:c>
      <x:c r="E62" s="55" t="str">
        <x:v>時刻</x:v>
      </x:c>
      <x:c r="F62" s="55" t="str">
        <x:v>時刻源・精度ルール確定</x:v>
      </x:c>
      <x:c r="G62" s="55" t="str">
        <x:v>created_at / content_updated_atはロック取得後に採番し、時刻源・精度・比較演算子を確定</x:v>
      </x:c>
      <x:c r="H62" s="55" t="str">
        <x:v>未着手</x:v>
      </x:c>
      <x:c r="I62" s="55" t="str">
        <x:v>High</x:v>
      </x:c>
      <x:c r="J62" s="55" t="str">
        <x:v>PO + AI支援</x:v>
      </x:c>
      <x:c r="K62" s="62" t="n">
        <x:v>0.5</x:v>
      </x:c>
      <x:c r="L62" s="57"/>
      <x:c r="M62" s="57"/>
      <x:c r="N62" s="57"/>
      <x:c r="O62" s="57"/>
      <x:c r="P62" s="58" t="n">
        <x:v>0</x:v>
      </x:c>
      <x:c r="Q62" s="55" t="str">
        <x:v>8-0A-02</x:v>
      </x:c>
      <x:c r="R62" s="55" t="str">
        <x:v>ソースコード / Developer Test / docs/development/phase8-wave0a-foundation-decisions.md</x:v>
      </x:c>
      <x:c r="S62" s="55" t="str">
        <x:v>共通DoDを満たし、Wave実装記録を更新</x:v>
      </x:c>
      <x:c r="T62" s="55"/>
      <x:c r="U62" s="55" t="str">
        <x:v>Wave 0-A</x:v>
      </x:c>
      <x:c r="V62" s="55" t="str">
        <x:v>Task</x:v>
      </x:c>
      <x:c r="W62" s="55" t="str">
        <x:v>1日=4h</x:v>
      </x:c>
    </x:row>
    <x:row r="63" ht="32.400001525878906" hidden="0" customHeight="1">
      <x:c r="A63" s="55" t="str">
        <x:v>8-0A-04</x:v>
      </x:c>
      <x:c r="B63" s="55" t="str">
        <x:v>Phase 8</x:v>
      </x:c>
      <x:c r="C63" s="55" t="str">
        <x:v>新規実装</x:v>
      </x:c>
      <x:c r="D63" s="55" t="str">
        <x:v>予定</x:v>
      </x:c>
      <x:c r="E63" s="55" t="str">
        <x:v>DB</x:v>
      </x:c>
      <x:c r="F63" s="55" t="str">
        <x:v>organization一意制約DDL確定</x:v>
      </x:c>
      <x:c r="G63" s="55" t="str">
        <x:v>root/childを含むnormalized_name一意制約をPostgreSQL向けに確定</x:v>
      </x:c>
      <x:c r="H63" s="55" t="str">
        <x:v>未着手</x:v>
      </x:c>
      <x:c r="I63" s="55" t="str">
        <x:v>High</x:v>
      </x:c>
      <x:c r="J63" s="55" t="str">
        <x:v>PO + AI支援</x:v>
      </x:c>
      <x:c r="K63" s="62" t="n">
        <x:v>0.25</x:v>
      </x:c>
      <x:c r="L63" s="57"/>
      <x:c r="M63" s="57"/>
      <x:c r="N63" s="57"/>
      <x:c r="O63" s="57"/>
      <x:c r="P63" s="58" t="n">
        <x:v>0</x:v>
      </x:c>
      <x:c r="Q63" s="55" t="str">
        <x:v>8-0A-03</x:v>
      </x:c>
      <x:c r="R63" s="55" t="str">
        <x:v>ソースコード / Developer Test / docs/development/phase8-wave0a-foundation-decisions.md</x:v>
      </x:c>
      <x:c r="S63" s="55" t="str">
        <x:v>共通DoDを満たし、Wave実装記録を更新</x:v>
      </x:c>
      <x:c r="T63" s="55"/>
      <x:c r="U63" s="55" t="str">
        <x:v>Wave 0-A</x:v>
      </x:c>
      <x:c r="V63" s="55" t="str">
        <x:v>Task</x:v>
      </x:c>
      <x:c r="W63" s="55" t="str">
        <x:v>1日=4h</x:v>
      </x:c>
    </x:row>
    <x:row r="64" ht="32.400001525878906" hidden="0" customHeight="1">
      <x:c r="A64" s="55" t="str">
        <x:v>8-0A-05</x:v>
      </x:c>
      <x:c r="B64" s="55" t="str">
        <x:v>Phase 8</x:v>
      </x:c>
      <x:c r="C64" s="55" t="str">
        <x:v>新規実装</x:v>
      </x:c>
      <x:c r="D64" s="55" t="str">
        <x:v>予定</x:v>
      </x:c>
      <x:c r="E64" s="55" t="str">
        <x:v>DB</x:v>
      </x:c>
      <x:c r="F64" s="55" t="str">
        <x:v>proposed_result JSONマッピング方式確定</x:v>
      </x:c>
      <x:c r="G64" s="55" t="str">
        <x:v>PostgreSQL jsonbとHibernateのマッピング方式を確定</x:v>
      </x:c>
      <x:c r="H64" s="55" t="str">
        <x:v>未着手</x:v>
      </x:c>
      <x:c r="I64" s="55" t="str">
        <x:v>High</x:v>
      </x:c>
      <x:c r="J64" s="55" t="str">
        <x:v>PO + AI支援</x:v>
      </x:c>
      <x:c r="K64" s="62" t="n">
        <x:v>0.25</x:v>
      </x:c>
      <x:c r="L64" s="57"/>
      <x:c r="M64" s="57"/>
      <x:c r="N64" s="57"/>
      <x:c r="O64" s="57"/>
      <x:c r="P64" s="58" t="n">
        <x:v>0</x:v>
      </x:c>
      <x:c r="Q64" s="55" t="str">
        <x:v>8-0A-04</x:v>
      </x:c>
      <x:c r="R64" s="55" t="str">
        <x:v>ソースコード / Developer Test / docs/development/phase8-wave0a-foundation-decisions.md</x:v>
      </x:c>
      <x:c r="S64" s="55" t="str">
        <x:v>共通DoDを満たし、Wave実装記録を更新</x:v>
      </x:c>
      <x:c r="T64" s="55"/>
      <x:c r="U64" s="55" t="str">
        <x:v>Wave 0-A</x:v>
      </x:c>
      <x:c r="V64" s="55" t="str">
        <x:v>Task</x:v>
      </x:c>
      <x:c r="W64" s="55" t="str">
        <x:v>1日=4h</x:v>
      </x:c>
    </x:row>
    <x:row r="65" ht="32.400001525878906" hidden="0" customHeight="1">
      <x:c r="A65" s="55" t="str">
        <x:v>8-0A-06</x:v>
      </x:c>
      <x:c r="B65" s="55" t="str">
        <x:v>Phase 8</x:v>
      </x:c>
      <x:c r="C65" s="55" t="str">
        <x:v>新規実装</x:v>
      </x:c>
      <x:c r="D65" s="55" t="str">
        <x:v>予定</x:v>
      </x:c>
      <x:c r="E65" s="55" t="str">
        <x:v>Migration</x:v>
      </x:c>
      <x:c r="F65" s="55" t="str">
        <x:v>Migration運用ルール確定</x:v>
      </x:c>
      <x:c r="G65" s="55" t="str">
        <x:v>M1以降は適用済みMigrationを書き換えず新規Migrationを追加するルールを確定</x:v>
      </x:c>
      <x:c r="H65" s="55" t="str">
        <x:v>未着手</x:v>
      </x:c>
      <x:c r="I65" s="55" t="str">
        <x:v>High</x:v>
      </x:c>
      <x:c r="J65" s="55" t="str">
        <x:v>PO + AI支援</x:v>
      </x:c>
      <x:c r="K65" s="62" t="n">
        <x:v>0.25</x:v>
      </x:c>
      <x:c r="L65" s="57"/>
      <x:c r="M65" s="57"/>
      <x:c r="N65" s="57"/>
      <x:c r="O65" s="57"/>
      <x:c r="P65" s="58" t="n">
        <x:v>0</x:v>
      </x:c>
      <x:c r="Q65" s="55" t="str">
        <x:v>8-0A-05</x:v>
      </x:c>
      <x:c r="R65" s="55" t="str">
        <x:v>ソースコード / Developer Test / docs/development/phase8-wave0a-foundation-decisions.md</x:v>
      </x:c>
      <x:c r="S65" s="55" t="str">
        <x:v>共通DoDを満たし、Wave実装記録を更新</x:v>
      </x:c>
      <x:c r="T65" s="55"/>
      <x:c r="U65" s="55" t="str">
        <x:v>Wave 0-A</x:v>
      </x:c>
      <x:c r="V65" s="55" t="str">
        <x:v>Task</x:v>
      </x:c>
      <x:c r="W65" s="55" t="str">
        <x:v>1日=4h</x:v>
      </x:c>
    </x:row>
    <x:row r="66" ht="32.400001525878906" hidden="0" customHeight="1">
      <x:c r="A66" s="55" t="str">
        <x:v>8-0A-07</x:v>
      </x:c>
      <x:c r="B66" s="55" t="str">
        <x:v>Phase 8</x:v>
      </x:c>
      <x:c r="C66" s="55" t="str">
        <x:v>新規実装</x:v>
      </x:c>
      <x:c r="D66" s="55" t="str">
        <x:v>予定</x:v>
      </x:c>
      <x:c r="E66" s="55" t="str">
        <x:v>環境</x:v>
      </x:c>
      <x:c r="F66" s="55" t="str">
        <x:v>Docker Compose構成確認</x:v>
      </x:c>
      <x:c r="G66" s="55" t="str">
        <x:v>Spring Boot / PostgreSQL / AI Serviceのローカル構成と接続方針を確認</x:v>
      </x:c>
      <x:c r="H66" s="55" t="str">
        <x:v>未着手</x:v>
      </x:c>
      <x:c r="I66" s="55" t="str">
        <x:v>High</x:v>
      </x:c>
      <x:c r="J66" s="55" t="str">
        <x:v>PO + AI支援</x:v>
      </x:c>
      <x:c r="K66" s="62" t="n">
        <x:v>0.25</x:v>
      </x:c>
      <x:c r="L66" s="57"/>
      <x:c r="M66" s="57"/>
      <x:c r="N66" s="57"/>
      <x:c r="O66" s="57"/>
      <x:c r="P66" s="58" t="n">
        <x:v>0</x:v>
      </x:c>
      <x:c r="Q66" s="55" t="str">
        <x:v>8-0A-06</x:v>
      </x:c>
      <x:c r="R66" s="55" t="str">
        <x:v>ソースコード / Developer Test / docs/development/phase8-wave0a-foundation-decisions.md</x:v>
      </x:c>
      <x:c r="S66" s="55" t="str">
        <x:v>共通DoDを満たし、Wave実装記録を更新</x:v>
      </x:c>
      <x:c r="T66" s="55"/>
      <x:c r="U66" s="55" t="str">
        <x:v>Wave 0-A</x:v>
      </x:c>
      <x:c r="V66" s="55" t="str">
        <x:v>Task</x:v>
      </x:c>
      <x:c r="W66" s="55" t="str">
        <x:v>1日=4h</x:v>
      </x:c>
    </x:row>
    <x:row r="67" ht="15" hidden="0" customHeight="1">
      <x:c r="A67" s="55" t="str">
        <x:v>8-M0A</x:v>
      </x:c>
      <x:c r="B67" s="55" t="str">
        <x:v>Phase 8</x:v>
      </x:c>
      <x:c r="C67" s="55" t="str">
        <x:v>新規実装</x:v>
      </x:c>
      <x:c r="D67" s="55" t="str">
        <x:v>予定</x:v>
      </x:c>
      <x:c r="E67" s="55" t="str">
        <x:v>Milestone</x:v>
      </x:c>
      <x:c r="F67" s="55" t="str">
        <x:v>Wave 0-A完了</x:v>
      </x:c>
      <x:c r="G67" s="55" t="str">
        <x:v>Wave 1開始前の技術前提を確定</x:v>
      </x:c>
      <x:c r="H67" s="55" t="str">
        <x:v>未着手</x:v>
      </x:c>
      <x:c r="I67" s="55" t="str">
        <x:v>High</x:v>
      </x:c>
      <x:c r="J67" s="55" t="str">
        <x:v>PO + AI支援</x:v>
      </x:c>
      <x:c r="K67" s="62" t="n">
        <x:v>0</x:v>
      </x:c>
      <x:c r="L67" s="57"/>
      <x:c r="M67" s="57"/>
      <x:c r="N67" s="57"/>
      <x:c r="O67" s="57"/>
      <x:c r="P67" s="58" t="n">
        <x:v>0</x:v>
      </x:c>
      <x:c r="Q67" s="55" t="str">
        <x:v>8-0A-07</x:v>
      </x:c>
      <x:c r="R67" s="55" t="str">
        <x:v>phase8-wave0a-foundation-decisions.md</x:v>
      </x:c>
      <x:c r="S67" s="55" t="str">
        <x:v>Wave 1開始条件を満たす</x:v>
      </x:c>
      <x:c r="T67" s="55"/>
      <x:c r="U67" s="55" t="str">
        <x:v>Wave 0-A</x:v>
      </x:c>
      <x:c r="V67" s="55" t="str">
        <x:v>Milestone</x:v>
      </x:c>
      <x:c r="W67" s="55" t="str">
        <x:v>—</x:v>
      </x:c>
    </x:row>
    <x:row r="68" ht="21.600000381469727" hidden="0" customHeight="1">
      <x:c r="A68" s="55" t="str">
        <x:v>8-1-01</x:v>
      </x:c>
      <x:c r="B68" s="55" t="str">
        <x:v>Phase 8</x:v>
      </x:c>
      <x:c r="C68" s="55" t="str">
        <x:v>新規実装</x:v>
      </x:c>
      <x:c r="D68" s="55" t="str">
        <x:v>予定</x:v>
      </x:c>
      <x:c r="E68" s="55" t="str">
        <x:v>基盤</x:v>
      </x:c>
      <x:c r="F68" s="55" t="str">
        <x:v>DB環境・Migration基盤構築</x:v>
      </x:c>
      <x:c r="G68" s="55" t="str">
        <x:v>PostgreSQL接続とMigration実行基盤を構築</x:v>
      </x:c>
      <x:c r="H68" s="55" t="str">
        <x:v>未着手</x:v>
      </x:c>
      <x:c r="I68" s="55" t="str">
        <x:v>High</x:v>
      </x:c>
      <x:c r="J68" s="55" t="str">
        <x:v>PO + AI支援</x:v>
      </x:c>
      <x:c r="K68" s="62" t="n">
        <x:v>0.75</x:v>
      </x:c>
      <x:c r="L68" s="57"/>
      <x:c r="M68" s="57"/>
      <x:c r="N68" s="57"/>
      <x:c r="O68" s="57"/>
      <x:c r="P68" s="58" t="n">
        <x:v>0</x:v>
      </x:c>
      <x:c r="Q68" s="55" t="str">
        <x:v>8-M0A</x:v>
      </x:c>
      <x:c r="R68" s="55" t="str">
        <x:v>ソースコード / Developer Test / docs/development/phase8-wave1-foundation.md</x:v>
      </x:c>
      <x:c r="S68" s="55" t="str">
        <x:v>共通DoDを満たし、Wave実装記録を更新</x:v>
      </x:c>
      <x:c r="T68" s="55"/>
      <x:c r="U68" s="55" t="str">
        <x:v>Wave 1</x:v>
      </x:c>
      <x:c r="V68" s="55" t="str">
        <x:v>Task</x:v>
      </x:c>
      <x:c r="W68" s="55" t="str">
        <x:v>1日=4h</x:v>
      </x:c>
    </x:row>
    <x:row r="69" ht="21.600000381469727" hidden="0" customHeight="1">
      <x:c r="A69" s="55" t="str">
        <x:v>8-1-02</x:v>
      </x:c>
      <x:c r="B69" s="55" t="str">
        <x:v>Phase 8</x:v>
      </x:c>
      <x:c r="C69" s="55" t="str">
        <x:v>新規実装</x:v>
      </x:c>
      <x:c r="D69" s="55" t="str">
        <x:v>予定</x:v>
      </x:c>
      <x:c r="E69" s="55" t="str">
        <x:v>DB</x:v>
      </x:c>
      <x:c r="F69" s="55" t="str">
        <x:v>初期Schema / Migration実装</x:v>
      </x:c>
      <x:c r="G69" s="55" t="str">
        <x:v>users / memos / organizations / memo_organizations / ai_processes と制約・INDEXを実装</x:v>
      </x:c>
      <x:c r="H69" s="55" t="str">
        <x:v>未着手</x:v>
      </x:c>
      <x:c r="I69" s="55" t="str">
        <x:v>High</x:v>
      </x:c>
      <x:c r="J69" s="55" t="str">
        <x:v>PO + AI支援</x:v>
      </x:c>
      <x:c r="K69" s="62" t="n">
        <x:v>1</x:v>
      </x:c>
      <x:c r="L69" s="57"/>
      <x:c r="M69" s="57"/>
      <x:c r="N69" s="57"/>
      <x:c r="O69" s="57"/>
      <x:c r="P69" s="58" t="n">
        <x:v>0</x:v>
      </x:c>
      <x:c r="Q69" s="55" t="str">
        <x:v>8-1-01</x:v>
      </x:c>
      <x:c r="R69" s="55" t="str">
        <x:v>ソースコード / Developer Test / docs/development/phase8-wave1-foundation.md</x:v>
      </x:c>
      <x:c r="S69" s="55" t="str">
        <x:v>共通DoDを満たし、Wave実装記録を更新</x:v>
      </x:c>
      <x:c r="T69" s="55"/>
      <x:c r="U69" s="55" t="str">
        <x:v>Wave 1</x:v>
      </x:c>
      <x:c r="V69" s="55" t="str">
        <x:v>Task</x:v>
      </x:c>
      <x:c r="W69" s="55" t="str">
        <x:v>1日=4h</x:v>
      </x:c>
    </x:row>
    <x:row r="70" ht="21.600000381469727" hidden="0" customHeight="1">
      <x:c r="A70" s="55" t="str">
        <x:v>8-1-03</x:v>
      </x:c>
      <x:c r="B70" s="55" t="str">
        <x:v>Phase 8</x:v>
      </x:c>
      <x:c r="C70" s="55" t="str">
        <x:v>新規実装</x:v>
      </x:c>
      <x:c r="D70" s="55" t="str">
        <x:v>予定</x:v>
      </x:c>
      <x:c r="E70" s="55" t="str">
        <x:v>Entity</x:v>
      </x:c>
      <x:c r="F70" s="55" t="str">
        <x:v>Entity / Enum実装</x:v>
      </x:c>
      <x:c r="G70" s="55" t="str">
        <x:v>主要Entityとprocess type / status / relation type等のEnumを実装</x:v>
      </x:c>
      <x:c r="H70" s="55" t="str">
        <x:v>未着手</x:v>
      </x:c>
      <x:c r="I70" s="55" t="str">
        <x:v>High</x:v>
      </x:c>
      <x:c r="J70" s="55" t="str">
        <x:v>PO + AI支援</x:v>
      </x:c>
      <x:c r="K70" s="62" t="n">
        <x:v>1</x:v>
      </x:c>
      <x:c r="L70" s="57"/>
      <x:c r="M70" s="57"/>
      <x:c r="N70" s="57"/>
      <x:c r="O70" s="57"/>
      <x:c r="P70" s="58" t="n">
        <x:v>0</x:v>
      </x:c>
      <x:c r="Q70" s="55" t="str">
        <x:v>8-1-02</x:v>
      </x:c>
      <x:c r="R70" s="55" t="str">
        <x:v>ソースコード / Developer Test / docs/development/phase8-wave1-foundation.md</x:v>
      </x:c>
      <x:c r="S70" s="55" t="str">
        <x:v>共通DoDを満たし、Wave実装記録を更新</x:v>
      </x:c>
      <x:c r="T70" s="55"/>
      <x:c r="U70" s="55" t="str">
        <x:v>Wave 1</x:v>
      </x:c>
      <x:c r="V70" s="55" t="str">
        <x:v>Task</x:v>
      </x:c>
      <x:c r="W70" s="55" t="str">
        <x:v>1日=4h</x:v>
      </x:c>
    </x:row>
    <x:row r="71" ht="21.600000381469727" hidden="0" customHeight="1">
      <x:c r="A71" s="55" t="str">
        <x:v>8-1-04</x:v>
      </x:c>
      <x:c r="B71" s="55" t="str">
        <x:v>Phase 8</x:v>
      </x:c>
      <x:c r="C71" s="55" t="str">
        <x:v>新規実装</x:v>
      </x:c>
      <x:c r="D71" s="55" t="str">
        <x:v>予定</x:v>
      </x:c>
      <x:c r="E71" s="55" t="str">
        <x:v>Repository</x:v>
      </x:c>
      <x:c r="F71" s="55" t="str">
        <x:v>基本Repository実装</x:v>
      </x:c>
      <x:c r="G71" s="55" t="str">
        <x:v>各Entityの基本Repositoryと単純な導出Queryを実装</x:v>
      </x:c>
      <x:c r="H71" s="55" t="str">
        <x:v>未着手</x:v>
      </x:c>
      <x:c r="I71" s="55" t="str">
        <x:v>High</x:v>
      </x:c>
      <x:c r="J71" s="55" t="str">
        <x:v>PO + AI支援</x:v>
      </x:c>
      <x:c r="K71" s="62" t="n">
        <x:v>0.75</x:v>
      </x:c>
      <x:c r="L71" s="57"/>
      <x:c r="M71" s="57"/>
      <x:c r="N71" s="57"/>
      <x:c r="O71" s="57"/>
      <x:c r="P71" s="58" t="n">
        <x:v>0</x:v>
      </x:c>
      <x:c r="Q71" s="55" t="str">
        <x:v>8-1-03</x:v>
      </x:c>
      <x:c r="R71" s="55" t="str">
        <x:v>ソースコード / Developer Test / docs/development/phase8-wave1-foundation.md</x:v>
      </x:c>
      <x:c r="S71" s="55" t="str">
        <x:v>共通DoDを満たし、Wave実装記録を更新</x:v>
      </x:c>
      <x:c r="T71" s="55"/>
      <x:c r="U71" s="55" t="str">
        <x:v>Wave 1</x:v>
      </x:c>
      <x:c r="V71" s="55" t="str">
        <x:v>Task</x:v>
      </x:c>
      <x:c r="W71" s="55" t="str">
        <x:v>1日=4h</x:v>
      </x:c>
    </x:row>
    <x:row r="72" ht="21.600000381469727" hidden="0" customHeight="1">
      <x:c r="A72" s="55" t="str">
        <x:v>8-1-05</x:v>
      </x:c>
      <x:c r="B72" s="55" t="str">
        <x:v>Phase 8</x:v>
      </x:c>
      <x:c r="C72" s="55" t="str">
        <x:v>新規実装</x:v>
      </x:c>
      <x:c r="D72" s="55" t="str">
        <x:v>予定</x:v>
      </x:c>
      <x:c r="E72" s="55" t="str">
        <x:v>共通</x:v>
      </x:c>
      <x:c r="F72" s="55" t="str">
        <x:v>共通例外・APIエラー実装</x:v>
      </x:c>
      <x:c r="G72" s="55" t="str">
        <x:v>共通例外、409コードを含むAPIエラー形式を実装</x:v>
      </x:c>
      <x:c r="H72" s="55" t="str">
        <x:v>未着手</x:v>
      </x:c>
      <x:c r="I72" s="55" t="str">
        <x:v>High</x:v>
      </x:c>
      <x:c r="J72" s="55" t="str">
        <x:v>PO + AI支援</x:v>
      </x:c>
      <x:c r="K72" s="62" t="n">
        <x:v>0.5</x:v>
      </x:c>
      <x:c r="L72" s="57"/>
      <x:c r="M72" s="57"/>
      <x:c r="N72" s="57"/>
      <x:c r="O72" s="57"/>
      <x:c r="P72" s="58" t="n">
        <x:v>0</x:v>
      </x:c>
      <x:c r="Q72" s="55" t="str">
        <x:v>8-1-03</x:v>
      </x:c>
      <x:c r="R72" s="55" t="str">
        <x:v>ソースコード / Developer Test / docs/development/phase8-wave1-foundation.md</x:v>
      </x:c>
      <x:c r="S72" s="55" t="str">
        <x:v>共通DoDを満たし、Wave実装記録を更新</x:v>
      </x:c>
      <x:c r="T72" s="55"/>
      <x:c r="U72" s="55" t="str">
        <x:v>Wave 1</x:v>
      </x:c>
      <x:c r="V72" s="55" t="str">
        <x:v>Task</x:v>
      </x:c>
      <x:c r="W72" s="55" t="str">
        <x:v>1日=4h</x:v>
      </x:c>
    </x:row>
    <x:row r="73" ht="21.600000381469727" hidden="0" customHeight="1">
      <x:c r="A73" s="55" t="str">
        <x:v>8-1-06</x:v>
      </x:c>
      <x:c r="B73" s="55" t="str">
        <x:v>Phase 8</x:v>
      </x:c>
      <x:c r="C73" s="55" t="str">
        <x:v>新規実装</x:v>
      </x:c>
      <x:c r="D73" s="55" t="str">
        <x:v>予定</x:v>
      </x:c>
      <x:c r="E73" s="55" t="str">
        <x:v>認証</x:v>
      </x:c>
      <x:c r="F73" s="55" t="str">
        <x:v>認証・現在ユーザー取得基盤実装</x:v>
      </x:c>
      <x:c r="G73" s="55" t="str">
        <x:v>Session + Cookie、Spring Security、ログインユーザー取得、所有者確認基盤を実装</x:v>
      </x:c>
      <x:c r="H73" s="55" t="str">
        <x:v>未着手</x:v>
      </x:c>
      <x:c r="I73" s="55" t="str">
        <x:v>High</x:v>
      </x:c>
      <x:c r="J73" s="55" t="str">
        <x:v>PO + AI支援</x:v>
      </x:c>
      <x:c r="K73" s="62" t="n">
        <x:v>0.75</x:v>
      </x:c>
      <x:c r="L73" s="57"/>
      <x:c r="M73" s="57"/>
      <x:c r="N73" s="57"/>
      <x:c r="O73" s="57"/>
      <x:c r="P73" s="58" t="n">
        <x:v>0</x:v>
      </x:c>
      <x:c r="Q73" s="55" t="str">
        <x:v>8-1-03</x:v>
      </x:c>
      <x:c r="R73" s="55" t="str">
        <x:v>ソースコード / Developer Test / docs/development/phase8-wave1-foundation.md</x:v>
      </x:c>
      <x:c r="S73" s="55" t="str">
        <x:v>共通DoDを満たし、Wave実装記録を更新</x:v>
      </x:c>
      <x:c r="T73" s="55"/>
      <x:c r="U73" s="55" t="str">
        <x:v>Wave 1</x:v>
      </x:c>
      <x:c r="V73" s="55" t="str">
        <x:v>Task</x:v>
      </x:c>
      <x:c r="W73" s="55" t="str">
        <x:v>1日=4h</x:v>
      </x:c>
    </x:row>
    <x:row r="74" ht="21.600000381469727" hidden="0" customHeight="1">
      <x:c r="A74" s="55" t="str">
        <x:v>8-1-07</x:v>
      </x:c>
      <x:c r="B74" s="55" t="str">
        <x:v>Phase 8</x:v>
      </x:c>
      <x:c r="C74" s="55" t="str">
        <x:v>新規実装</x:v>
      </x:c>
      <x:c r="D74" s="55" t="str">
        <x:v>予定</x:v>
      </x:c>
      <x:c r="E74" s="55" t="str">
        <x:v>テスト基盤</x:v>
      </x:c>
      <x:c r="F74" s="55" t="str">
        <x:v>実PostgreSQL Repositoryテスト基盤</x:v>
      </x:c>
      <x:c r="G74" s="55" t="str">
        <x:v>実PostgreSQLで最初のRepositoryテストが通る状態を作る</x:v>
      </x:c>
      <x:c r="H74" s="55" t="str">
        <x:v>未着手</x:v>
      </x:c>
      <x:c r="I74" s="55" t="str">
        <x:v>High</x:v>
      </x:c>
      <x:c r="J74" s="55" t="str">
        <x:v>PO + AI支援</x:v>
      </x:c>
      <x:c r="K74" s="62" t="n">
        <x:v>0.25</x:v>
      </x:c>
      <x:c r="L74" s="57"/>
      <x:c r="M74" s="57"/>
      <x:c r="N74" s="57"/>
      <x:c r="O74" s="57"/>
      <x:c r="P74" s="58" t="n">
        <x:v>0</x:v>
      </x:c>
      <x:c r="Q74" s="55" t="str">
        <x:v>8-1-04,8-1-06</x:v>
      </x:c>
      <x:c r="R74" s="55" t="str">
        <x:v>ソースコード / Developer Test / docs/development/phase8-wave1-foundation.md</x:v>
      </x:c>
      <x:c r="S74" s="55" t="str">
        <x:v>共通DoDを満たし、Wave実装記録を更新</x:v>
      </x:c>
      <x:c r="T74" s="55"/>
      <x:c r="U74" s="55" t="str">
        <x:v>Wave 1</x:v>
      </x:c>
      <x:c r="V74" s="55" t="str">
        <x:v>Task</x:v>
      </x:c>
      <x:c r="W74" s="55" t="str">
        <x:v>1日=4h</x:v>
      </x:c>
    </x:row>
    <x:row r="75" ht="21.600000381469727" hidden="0" customHeight="1">
      <x:c r="A75" s="55" t="str">
        <x:v>8-M1</x:v>
      </x:c>
      <x:c r="B75" s="55" t="str">
        <x:v>Phase 8</x:v>
      </x:c>
      <x:c r="C75" s="55" t="str">
        <x:v>新規実装</x:v>
      </x:c>
      <x:c r="D75" s="55" t="str">
        <x:v>予定</x:v>
      </x:c>
      <x:c r="E75" s="55" t="str">
        <x:v>Milestone</x:v>
      </x:c>
      <x:c r="F75" s="55" t="str">
        <x:v>DB・共通基盤完了</x:v>
      </x:c>
      <x:c r="G75" s="55" t="str">
        <x:v>Migration成功・Spring Boot起動・基本Repository/認証基盤利用可能</x:v>
      </x:c>
      <x:c r="H75" s="55" t="str">
        <x:v>未着手</x:v>
      </x:c>
      <x:c r="I75" s="55" t="str">
        <x:v>High</x:v>
      </x:c>
      <x:c r="J75" s="55" t="str">
        <x:v>PO + AI支援</x:v>
      </x:c>
      <x:c r="K75" s="62" t="n">
        <x:v>0</x:v>
      </x:c>
      <x:c r="L75" s="57"/>
      <x:c r="M75" s="57"/>
      <x:c r="N75" s="57"/>
      <x:c r="O75" s="57"/>
      <x:c r="P75" s="58" t="n">
        <x:v>0</x:v>
      </x:c>
      <x:c r="Q75" s="55" t="str">
        <x:v>8-1-07</x:v>
      </x:c>
      <x:c r="R75" s="55" t="str">
        <x:v>phase8-wave1-foundation.md</x:v>
      </x:c>
      <x:c r="S75" s="55" t="str">
        <x:v>M1達成</x:v>
      </x:c>
      <x:c r="T75" s="55"/>
      <x:c r="U75" s="55" t="str">
        <x:v>Wave 1</x:v>
      </x:c>
      <x:c r="V75" s="55" t="str">
        <x:v>Milestone</x:v>
      </x:c>
      <x:c r="W75" s="55" t="str">
        <x:v>—</x:v>
      </x:c>
    </x:row>
    <x:row r="76" ht="21.600000381469727" hidden="0" customHeight="1">
      <x:c r="A76" s="55" t="str">
        <x:v>8-2-01</x:v>
      </x:c>
      <x:c r="B76" s="55" t="str">
        <x:v>Phase 8</x:v>
      </x:c>
      <x:c r="C76" s="55" t="str">
        <x:v>新規実装</x:v>
      </x:c>
      <x:c r="D76" s="55" t="str">
        <x:v>予定</x:v>
      </x:c>
      <x:c r="E76" s="55" t="str">
        <x:v>memo</x:v>
      </x:c>
      <x:c r="F76" s="55" t="str">
        <x:v>MemoRepository詳細実装</x:v>
      </x:c>
      <x:c r="G76" s="55" t="str">
        <x:v>所有者条件、悲観ロック取得等のMemo固有Repository処理を実装</x:v>
      </x:c>
      <x:c r="H76" s="55" t="str">
        <x:v>未着手</x:v>
      </x:c>
      <x:c r="I76" s="55" t="str">
        <x:v>High</x:v>
      </x:c>
      <x:c r="J76" s="55" t="str">
        <x:v>PO + AI支援</x:v>
      </x:c>
      <x:c r="K76" s="62" t="n">
        <x:v>0.5</x:v>
      </x:c>
      <x:c r="L76" s="57"/>
      <x:c r="M76" s="57"/>
      <x:c r="N76" s="57"/>
      <x:c r="O76" s="57"/>
      <x:c r="P76" s="58" t="n">
        <x:v>0</x:v>
      </x:c>
      <x:c r="Q76" s="55" t="str">
        <x:v>8-M1</x:v>
      </x:c>
      <x:c r="R76" s="55" t="str">
        <x:v>ソースコード / Developer Test / docs/development/phase8-wave2-memo.md</x:v>
      </x:c>
      <x:c r="S76" s="55" t="str">
        <x:v>共通DoDを満たし、Wave実装記録を更新</x:v>
      </x:c>
      <x:c r="T76" s="55"/>
      <x:c r="U76" s="55" t="str">
        <x:v>Wave 2</x:v>
      </x:c>
      <x:c r="V76" s="55" t="str">
        <x:v>Task</x:v>
      </x:c>
      <x:c r="W76" s="55" t="str">
        <x:v>1日=4h</x:v>
      </x:c>
    </x:row>
    <x:row r="77" ht="21.600000381469727" hidden="0" customHeight="1">
      <x:c r="A77" s="55" t="str">
        <x:v>8-2-02</x:v>
      </x:c>
      <x:c r="B77" s="55" t="str">
        <x:v>Phase 8</x:v>
      </x:c>
      <x:c r="C77" s="55" t="str">
        <x:v>新規実装</x:v>
      </x:c>
      <x:c r="D77" s="55" t="str">
        <x:v>予定</x:v>
      </x:c>
      <x:c r="E77" s="55" t="str">
        <x:v>memo</x:v>
      </x:c>
      <x:c r="F77" s="55" t="str">
        <x:v>Memo作成・一覧・詳細Service</x:v>
      </x:c>
      <x:c r="G77" s="55" t="str">
        <x:v>作成、一覧、詳細取得と所有者確認を実装</x:v>
      </x:c>
      <x:c r="H77" s="55" t="str">
        <x:v>未着手</x:v>
      </x:c>
      <x:c r="I77" s="55" t="str">
        <x:v>High</x:v>
      </x:c>
      <x:c r="J77" s="55" t="str">
        <x:v>PO + AI支援</x:v>
      </x:c>
      <x:c r="K77" s="62" t="n">
        <x:v>0.75</x:v>
      </x:c>
      <x:c r="L77" s="57"/>
      <x:c r="M77" s="57"/>
      <x:c r="N77" s="57"/>
      <x:c r="O77" s="57"/>
      <x:c r="P77" s="58" t="n">
        <x:v>0</x:v>
      </x:c>
      <x:c r="Q77" s="55" t="str">
        <x:v>8-2-01</x:v>
      </x:c>
      <x:c r="R77" s="55" t="str">
        <x:v>ソースコード / Developer Test / docs/development/phase8-wave2-memo.md</x:v>
      </x:c>
      <x:c r="S77" s="55" t="str">
        <x:v>共通DoDを満たし、Wave実装記録を更新</x:v>
      </x:c>
      <x:c r="T77" s="55"/>
      <x:c r="U77" s="55" t="str">
        <x:v>Wave 2</x:v>
      </x:c>
      <x:c r="V77" s="55" t="str">
        <x:v>Task</x:v>
      </x:c>
      <x:c r="W77" s="55" t="str">
        <x:v>1日=4h</x:v>
      </x:c>
    </x:row>
    <x:row r="78" ht="21.600000381469727" hidden="0" customHeight="1">
      <x:c r="A78" s="55" t="str">
        <x:v>8-2-03</x:v>
      </x:c>
      <x:c r="B78" s="55" t="str">
        <x:v>Phase 8</x:v>
      </x:c>
      <x:c r="C78" s="55" t="str">
        <x:v>新規実装</x:v>
      </x:c>
      <x:c r="D78" s="55" t="str">
        <x:v>予定</x:v>
      </x:c>
      <x:c r="E78" s="55" t="str">
        <x:v>memo</x:v>
      </x:c>
      <x:c r="F78" s="55" t="str">
        <x:v>Memo編集・content_updated_at実装</x:v>
      </x:c>
      <x:c r="G78" s="55" t="str">
        <x:v>memoロック、タイトル/原文更新、実変更時のみcontent_updated_at更新を実装</x:v>
      </x:c>
      <x:c r="H78" s="55" t="str">
        <x:v>未着手</x:v>
      </x:c>
      <x:c r="I78" s="55" t="str">
        <x:v>High</x:v>
      </x:c>
      <x:c r="J78" s="55" t="str">
        <x:v>PO + AI支援</x:v>
      </x:c>
      <x:c r="K78" s="62" t="n">
        <x:v>0.75</x:v>
      </x:c>
      <x:c r="L78" s="57"/>
      <x:c r="M78" s="57"/>
      <x:c r="N78" s="57"/>
      <x:c r="O78" s="57"/>
      <x:c r="P78" s="58" t="n">
        <x:v>0</x:v>
      </x:c>
      <x:c r="Q78" s="55" t="str">
        <x:v>8-2-02</x:v>
      </x:c>
      <x:c r="R78" s="55" t="str">
        <x:v>ソースコード / Developer Test / docs/development/phase8-wave2-memo.md</x:v>
      </x:c>
      <x:c r="S78" s="55" t="str">
        <x:v>共通DoDを満たし、Wave実装記録を更新</x:v>
      </x:c>
      <x:c r="T78" s="55"/>
      <x:c r="U78" s="55" t="str">
        <x:v>Wave 2</x:v>
      </x:c>
      <x:c r="V78" s="55" t="str">
        <x:v>Task</x:v>
      </x:c>
      <x:c r="W78" s="55" t="str">
        <x:v>1日=4h</x:v>
      </x:c>
    </x:row>
    <x:row r="79" ht="21.600000381469727" hidden="0" customHeight="1">
      <x:c r="A79" s="55" t="str">
        <x:v>8-2-04</x:v>
      </x:c>
      <x:c r="B79" s="55" t="str">
        <x:v>Phase 8</x:v>
      </x:c>
      <x:c r="C79" s="55" t="str">
        <x:v>新規実装</x:v>
      </x:c>
      <x:c r="D79" s="55" t="str">
        <x:v>予定</x:v>
      </x:c>
      <x:c r="E79" s="55" t="str">
        <x:v>memo</x:v>
      </x:c>
      <x:c r="F79" s="55" t="str">
        <x:v>Memo基本削除実装</x:v>
      </x:c>
      <x:c r="G79" s="55" t="str">
        <x:v>memoロック下で基本削除を実装。AI関連後始末はWave 8で拡張</x:v>
      </x:c>
      <x:c r="H79" s="55" t="str">
        <x:v>未着手</x:v>
      </x:c>
      <x:c r="I79" s="55" t="str">
        <x:v>High</x:v>
      </x:c>
      <x:c r="J79" s="55" t="str">
        <x:v>PO + AI支援</x:v>
      </x:c>
      <x:c r="K79" s="62" t="n">
        <x:v>0.5</x:v>
      </x:c>
      <x:c r="L79" s="57"/>
      <x:c r="M79" s="57"/>
      <x:c r="N79" s="57"/>
      <x:c r="O79" s="57"/>
      <x:c r="P79" s="58" t="n">
        <x:v>0</x:v>
      </x:c>
      <x:c r="Q79" s="55" t="str">
        <x:v>8-2-03</x:v>
      </x:c>
      <x:c r="R79" s="55" t="str">
        <x:v>ソースコード / Developer Test / docs/development/phase8-wave2-memo.md</x:v>
      </x:c>
      <x:c r="S79" s="55" t="str">
        <x:v>共通DoDを満たし、Wave実装記録を更新</x:v>
      </x:c>
      <x:c r="T79" s="55"/>
      <x:c r="U79" s="55" t="str">
        <x:v>Wave 2</x:v>
      </x:c>
      <x:c r="V79" s="55" t="str">
        <x:v>Task</x:v>
      </x:c>
      <x:c r="W79" s="55" t="str">
        <x:v>1日=4h</x:v>
      </x:c>
    </x:row>
    <x:row r="80" ht="21.600000381469727" hidden="0" customHeight="1">
      <x:c r="A80" s="55" t="str">
        <x:v>8-2-05</x:v>
      </x:c>
      <x:c r="B80" s="55" t="str">
        <x:v>Phase 8</x:v>
      </x:c>
      <x:c r="C80" s="55" t="str">
        <x:v>新規実装</x:v>
      </x:c>
      <x:c r="D80" s="55" t="str">
        <x:v>予定</x:v>
      </x:c>
      <x:c r="E80" s="55" t="str">
        <x:v>memo</x:v>
      </x:c>
      <x:c r="F80" s="55" t="str">
        <x:v>Memo検索実装</x:v>
      </x:c>
      <x:c r="G80" s="55" t="str">
        <x:v>title / content / CURRENT organization名を対象に検索を実装</x:v>
      </x:c>
      <x:c r="H80" s="55" t="str">
        <x:v>未着手</x:v>
      </x:c>
      <x:c r="I80" s="55" t="str">
        <x:v>High</x:v>
      </x:c>
      <x:c r="J80" s="55" t="str">
        <x:v>PO + AI支援</x:v>
      </x:c>
      <x:c r="K80" s="62" t="n">
        <x:v>0.5</x:v>
      </x:c>
      <x:c r="L80" s="57"/>
      <x:c r="M80" s="57"/>
      <x:c r="N80" s="57"/>
      <x:c r="O80" s="57"/>
      <x:c r="P80" s="58" t="n">
        <x:v>0</x:v>
      </x:c>
      <x:c r="Q80" s="55" t="str">
        <x:v>8-2-02</x:v>
      </x:c>
      <x:c r="R80" s="55" t="str">
        <x:v>ソースコード / Developer Test / docs/development/phase8-wave2-memo.md</x:v>
      </x:c>
      <x:c r="S80" s="55" t="str">
        <x:v>共通DoDを満たし、Wave実装記録を更新</x:v>
      </x:c>
      <x:c r="T80" s="55"/>
      <x:c r="U80" s="55" t="str">
        <x:v>Wave 2</x:v>
      </x:c>
      <x:c r="V80" s="55" t="str">
        <x:v>Task</x:v>
      </x:c>
      <x:c r="W80" s="55" t="str">
        <x:v>1日=4h</x:v>
      </x:c>
    </x:row>
    <x:row r="81" ht="21.600000381469727" hidden="0" customHeight="1">
      <x:c r="A81" s="55" t="str">
        <x:v>8-2-06</x:v>
      </x:c>
      <x:c r="B81" s="55" t="str">
        <x:v>Phase 8</x:v>
      </x:c>
      <x:c r="C81" s="55" t="str">
        <x:v>新規実装</x:v>
      </x:c>
      <x:c r="D81" s="55" t="str">
        <x:v>予定</x:v>
      </x:c>
      <x:c r="E81" s="55" t="str">
        <x:v>API</x:v>
      </x:c>
      <x:c r="F81" s="55" t="str">
        <x:v>Memo DTO / Controller実装</x:v>
      </x:c>
      <x:c r="G81" s="55" t="str">
        <x:v>作成・一覧・詳細・編集・削除・検索APIを接続</x:v>
      </x:c>
      <x:c r="H81" s="55" t="str">
        <x:v>未着手</x:v>
      </x:c>
      <x:c r="I81" s="55" t="str">
        <x:v>High</x:v>
      </x:c>
      <x:c r="J81" s="55" t="str">
        <x:v>PO + AI支援</x:v>
      </x:c>
      <x:c r="K81" s="62" t="n">
        <x:v>0.75</x:v>
      </x:c>
      <x:c r="L81" s="57"/>
      <x:c r="M81" s="57"/>
      <x:c r="N81" s="57"/>
      <x:c r="O81" s="57"/>
      <x:c r="P81" s="58" t="n">
        <x:v>0</x:v>
      </x:c>
      <x:c r="Q81" s="55" t="str">
        <x:v>8-2-03,8-2-04,8-2-05</x:v>
      </x:c>
      <x:c r="R81" s="55" t="str">
        <x:v>ソースコード / Developer Test / docs/development/phase8-wave2-memo.md</x:v>
      </x:c>
      <x:c r="S81" s="55" t="str">
        <x:v>共通DoDを満たし、Wave実装記録を更新</x:v>
      </x:c>
      <x:c r="T81" s="55"/>
      <x:c r="U81" s="55" t="str">
        <x:v>Wave 2</x:v>
      </x:c>
      <x:c r="V81" s="55" t="str">
        <x:v>Task</x:v>
      </x:c>
      <x:c r="W81" s="55" t="str">
        <x:v>1日=4h</x:v>
      </x:c>
    </x:row>
    <x:row r="82" ht="21.600000381469727" hidden="0" customHeight="1">
      <x:c r="A82" s="55" t="str">
        <x:v>8-2-07</x:v>
      </x:c>
      <x:c r="B82" s="55" t="str">
        <x:v>Phase 8</x:v>
      </x:c>
      <x:c r="C82" s="55" t="str">
        <x:v>新規実装</x:v>
      </x:c>
      <x:c r="D82" s="55" t="str">
        <x:v>予定</x:v>
      </x:c>
      <x:c r="E82" s="55" t="str">
        <x:v>UI</x:v>
      </x:c>
      <x:c r="F82" s="55" t="str">
        <x:v>認証・セッションUI接続</x:v>
      </x:c>
      <x:c r="G82" s="55" t="str">
        <x:v>ログイン/セッション確認を既存認証仕様に沿って接続</x:v>
      </x:c>
      <x:c r="H82" s="55" t="str">
        <x:v>未着手</x:v>
      </x:c>
      <x:c r="I82" s="55" t="str">
        <x:v>High</x:v>
      </x:c>
      <x:c r="J82" s="55" t="str">
        <x:v>PO + AI支援</x:v>
      </x:c>
      <x:c r="K82" s="62" t="n">
        <x:v>0.5</x:v>
      </x:c>
      <x:c r="L82" s="57"/>
      <x:c r="M82" s="57"/>
      <x:c r="N82" s="57"/>
      <x:c r="O82" s="57"/>
      <x:c r="P82" s="58" t="n">
        <x:v>0</x:v>
      </x:c>
      <x:c r="Q82" s="55" t="str">
        <x:v>8-1-06</x:v>
      </x:c>
      <x:c r="R82" s="55" t="str">
        <x:v>ソースコード / Developer Test / docs/development/phase8-wave2-memo.md</x:v>
      </x:c>
      <x:c r="S82" s="55" t="str">
        <x:v>共通DoDを満たし、Wave実装記録を更新</x:v>
      </x:c>
      <x:c r="T82" s="55"/>
      <x:c r="U82" s="55" t="str">
        <x:v>Wave 2</x:v>
      </x:c>
      <x:c r="V82" s="55" t="str">
        <x:v>Task</x:v>
      </x:c>
      <x:c r="W82" s="55" t="str">
        <x:v>1日=4h</x:v>
      </x:c>
    </x:row>
    <x:row r="83" ht="21.600000381469727" hidden="0" customHeight="1">
      <x:c r="A83" s="55" t="str">
        <x:v>8-2-08</x:v>
      </x:c>
      <x:c r="B83" s="55" t="str">
        <x:v>Phase 8</x:v>
      </x:c>
      <x:c r="C83" s="55" t="str">
        <x:v>新規実装</x:v>
      </x:c>
      <x:c r="D83" s="55" t="str">
        <x:v>予定</x:v>
      </x:c>
      <x:c r="E83" s="55" t="str">
        <x:v>UI</x:v>
      </x:c>
      <x:c r="F83" s="55" t="str">
        <x:v>Home Memo作成・一覧UI</x:v>
      </x:c>
      <x:c r="G83" s="55" t="str">
        <x:v>ブラウザからmemo作成・一覧表示を接続</x:v>
      </x:c>
      <x:c r="H83" s="55" t="str">
        <x:v>未着手</x:v>
      </x:c>
      <x:c r="I83" s="55" t="str">
        <x:v>High</x:v>
      </x:c>
      <x:c r="J83" s="55" t="str">
        <x:v>PO + AI支援</x:v>
      </x:c>
      <x:c r="K83" s="62" t="n">
        <x:v>0.75</x:v>
      </x:c>
      <x:c r="L83" s="57"/>
      <x:c r="M83" s="57"/>
      <x:c r="N83" s="57"/>
      <x:c r="O83" s="57"/>
      <x:c r="P83" s="58" t="n">
        <x:v>0</x:v>
      </x:c>
      <x:c r="Q83" s="55" t="str">
        <x:v>8-2-06,8-2-07</x:v>
      </x:c>
      <x:c r="R83" s="55" t="str">
        <x:v>ソースコード / Developer Test / docs/development/phase8-wave2-memo.md</x:v>
      </x:c>
      <x:c r="S83" s="55" t="str">
        <x:v>共通DoDを満たし、Wave実装記録を更新</x:v>
      </x:c>
      <x:c r="T83" s="55"/>
      <x:c r="U83" s="55" t="str">
        <x:v>Wave 2</x:v>
      </x:c>
      <x:c r="V83" s="55" t="str">
        <x:v>Task</x:v>
      </x:c>
      <x:c r="W83" s="55" t="str">
        <x:v>1日=4h</x:v>
      </x:c>
    </x:row>
    <x:row r="84" ht="21.600000381469727" hidden="0" customHeight="1">
      <x:c r="A84" s="55" t="str">
        <x:v>8-2-09</x:v>
      </x:c>
      <x:c r="B84" s="55" t="str">
        <x:v>Phase 8</x:v>
      </x:c>
      <x:c r="C84" s="55" t="str">
        <x:v>新規実装</x:v>
      </x:c>
      <x:c r="D84" s="55" t="str">
        <x:v>予定</x:v>
      </x:c>
      <x:c r="E84" s="55" t="str">
        <x:v>UI</x:v>
      </x:c>
      <x:c r="F84" s="55" t="str">
        <x:v>Memo詳細・編集UI</x:v>
      </x:c>
      <x:c r="G84" s="55" t="str">
        <x:v>詳細表示・編集・基本削除を接続</x:v>
      </x:c>
      <x:c r="H84" s="55" t="str">
        <x:v>未着手</x:v>
      </x:c>
      <x:c r="I84" s="55" t="str">
        <x:v>High</x:v>
      </x:c>
      <x:c r="J84" s="55" t="str">
        <x:v>PO + AI支援</x:v>
      </x:c>
      <x:c r="K84" s="62" t="n">
        <x:v>0.75</x:v>
      </x:c>
      <x:c r="L84" s="57"/>
      <x:c r="M84" s="57"/>
      <x:c r="N84" s="57"/>
      <x:c r="O84" s="57"/>
      <x:c r="P84" s="58" t="n">
        <x:v>0</x:v>
      </x:c>
      <x:c r="Q84" s="55" t="str">
        <x:v>8-2-06,8-2-08</x:v>
      </x:c>
      <x:c r="R84" s="55" t="str">
        <x:v>ソースコード / Developer Test / docs/development/phase8-wave2-memo.md</x:v>
      </x:c>
      <x:c r="S84" s="55" t="str">
        <x:v>共通DoDを満たし、Wave実装記録を更新</x:v>
      </x:c>
      <x:c r="T84" s="55"/>
      <x:c r="U84" s="55" t="str">
        <x:v>Wave 2</x:v>
      </x:c>
      <x:c r="V84" s="55" t="str">
        <x:v>Task</x:v>
      </x:c>
      <x:c r="W84" s="55" t="str">
        <x:v>1日=4h</x:v>
      </x:c>
    </x:row>
    <x:row r="85" ht="21.600000381469727" hidden="0" customHeight="1">
      <x:c r="A85" s="55" t="str">
        <x:v>8-2-10</x:v>
      </x:c>
      <x:c r="B85" s="55" t="str">
        <x:v>Phase 8</x:v>
      </x:c>
      <x:c r="C85" s="55" t="str">
        <x:v>新規実装</x:v>
      </x:c>
      <x:c r="D85" s="55" t="str">
        <x:v>予定</x:v>
      </x:c>
      <x:c r="E85" s="55" t="str">
        <x:v>UI</x:v>
      </x:c>
      <x:c r="F85" s="55" t="str">
        <x:v>検索UI接続</x:v>
      </x:c>
      <x:c r="G85" s="55" t="str">
        <x:v>検索入力・結果表示・空検索エラーを接続</x:v>
      </x:c>
      <x:c r="H85" s="55" t="str">
        <x:v>未着手</x:v>
      </x:c>
      <x:c r="I85" s="55" t="str">
        <x:v>High</x:v>
      </x:c>
      <x:c r="J85" s="55" t="str">
        <x:v>PO + AI支援</x:v>
      </x:c>
      <x:c r="K85" s="62" t="n">
        <x:v>0.25</x:v>
      </x:c>
      <x:c r="L85" s="57"/>
      <x:c r="M85" s="57"/>
      <x:c r="N85" s="57"/>
      <x:c r="O85" s="57"/>
      <x:c r="P85" s="58" t="n">
        <x:v>0</x:v>
      </x:c>
      <x:c r="Q85" s="55" t="str">
        <x:v>8-2-06,8-2-08</x:v>
      </x:c>
      <x:c r="R85" s="55" t="str">
        <x:v>ソースコード / Developer Test / docs/development/phase8-wave2-memo.md</x:v>
      </x:c>
      <x:c r="S85" s="55" t="str">
        <x:v>共通DoDを満たし、Wave実装記録を更新</x:v>
      </x:c>
      <x:c r="T85" s="55"/>
      <x:c r="U85" s="55" t="str">
        <x:v>Wave 2</x:v>
      </x:c>
      <x:c r="V85" s="55" t="str">
        <x:v>Task</x:v>
      </x:c>
      <x:c r="W85" s="55" t="str">
        <x:v>1日=4h</x:v>
      </x:c>
    </x:row>
    <x:row r="86" ht="15" hidden="0" customHeight="1">
      <x:c r="A86" s="55" t="str">
        <x:v>8-M2</x:v>
      </x:c>
      <x:c r="B86" s="55" t="str">
        <x:v>Phase 8</x:v>
      </x:c>
      <x:c r="C86" s="55" t="str">
        <x:v>新規実装</x:v>
      </x:c>
      <x:c r="D86" s="55" t="str">
        <x:v>予定</x:v>
      </x:c>
      <x:c r="E86" s="55" t="str">
        <x:v>Milestone</x:v>
      </x:c>
      <x:c r="F86" s="55" t="str">
        <x:v>Memo E2E完了</x:v>
      </x:c>
      <x:c r="G86" s="55" t="str">
        <x:v>Memo CRUD＋検索をブラウザからEnd-to-End確認</x:v>
      </x:c>
      <x:c r="H86" s="55" t="str">
        <x:v>未着手</x:v>
      </x:c>
      <x:c r="I86" s="55" t="str">
        <x:v>High</x:v>
      </x:c>
      <x:c r="J86" s="55" t="str">
        <x:v>PO + AI支援</x:v>
      </x:c>
      <x:c r="K86" s="62" t="n">
        <x:v>0</x:v>
      </x:c>
      <x:c r="L86" s="57"/>
      <x:c r="M86" s="57"/>
      <x:c r="N86" s="57"/>
      <x:c r="O86" s="57"/>
      <x:c r="P86" s="58" t="n">
        <x:v>0</x:v>
      </x:c>
      <x:c r="Q86" s="55" t="str">
        <x:v>8-2-09,8-2-10</x:v>
      </x:c>
      <x:c r="R86" s="55" t="str">
        <x:v>phase8-wave2-memo.md</x:v>
      </x:c>
      <x:c r="S86" s="55" t="str">
        <x:v>M2達成</x:v>
      </x:c>
      <x:c r="T86" s="55"/>
      <x:c r="U86" s="55" t="str">
        <x:v>Wave 2</x:v>
      </x:c>
      <x:c r="V86" s="55" t="str">
        <x:v>Milestone</x:v>
      </x:c>
      <x:c r="W86" s="55" t="str">
        <x:v>—</x:v>
      </x:c>
    </x:row>
    <x:row r="87" ht="21.600000381469727" hidden="0" customHeight="1">
      <x:c r="A87" s="55" t="str">
        <x:v>8-3-01</x:v>
      </x:c>
      <x:c r="B87" s="55" t="str">
        <x:v>Phase 8</x:v>
      </x:c>
      <x:c r="C87" s="55" t="str">
        <x:v>新規実装</x:v>
      </x:c>
      <x:c r="D87" s="55" t="str">
        <x:v>予定</x:v>
      </x:c>
      <x:c r="E87" s="55" t="str">
        <x:v>organization</x:v>
      </x:c>
      <x:c r="F87" s="55" t="str">
        <x:v>OrganizationRepository詳細実装</x:v>
      </x:c>
      <x:c r="G87" s="55" t="str">
        <x:v>normalized_name・parent・userを用いる検索/競合確認Queryを実装</x:v>
      </x:c>
      <x:c r="H87" s="55" t="str">
        <x:v>未着手</x:v>
      </x:c>
      <x:c r="I87" s="55" t="str">
        <x:v>High</x:v>
      </x:c>
      <x:c r="J87" s="55" t="str">
        <x:v>PO + AI支援</x:v>
      </x:c>
      <x:c r="K87" s="62" t="n">
        <x:v>0.5</x:v>
      </x:c>
      <x:c r="L87" s="57"/>
      <x:c r="M87" s="57"/>
      <x:c r="N87" s="57"/>
      <x:c r="O87" s="57"/>
      <x:c r="P87" s="58" t="n">
        <x:v>0</x:v>
      </x:c>
      <x:c r="Q87" s="55" t="str">
        <x:v>8-M1</x:v>
      </x:c>
      <x:c r="R87" s="55" t="str">
        <x:v>ソースコード / Developer Test / docs/development/phase8-wave3-organization.md</x:v>
      </x:c>
      <x:c r="S87" s="55" t="str">
        <x:v>共通DoDを満たし、Wave実装記録を更新</x:v>
      </x:c>
      <x:c r="T87" s="55"/>
      <x:c r="U87" s="55" t="str">
        <x:v>Wave 3</x:v>
      </x:c>
      <x:c r="V87" s="55" t="str">
        <x:v>Task</x:v>
      </x:c>
      <x:c r="W87" s="55" t="str">
        <x:v>1日=4h</x:v>
      </x:c>
    </x:row>
    <x:row r="88" ht="21.600000381469727" hidden="0" customHeight="1">
      <x:c r="A88" s="55" t="str">
        <x:v>8-3-02</x:v>
      </x:c>
      <x:c r="B88" s="55" t="str">
        <x:v>Phase 8</x:v>
      </x:c>
      <x:c r="C88" s="55" t="str">
        <x:v>新規実装</x:v>
      </x:c>
      <x:c r="D88" s="55" t="str">
        <x:v>予定</x:v>
      </x:c>
      <x:c r="E88" s="55" t="str">
        <x:v>organization</x:v>
      </x:c>
      <x:c r="F88" s="55" t="str">
        <x:v>Organization系QueryService実装</x:v>
      </x:c>
      <x:c r="G88" s="55" t="str">
        <x:v>OrganizationQueryServiceとMemoOrganizationQueryServiceの読取責務を実装</x:v>
      </x:c>
      <x:c r="H88" s="55" t="str">
        <x:v>未着手</x:v>
      </x:c>
      <x:c r="I88" s="55" t="str">
        <x:v>High</x:v>
      </x:c>
      <x:c r="J88" s="55" t="str">
        <x:v>PO + AI支援</x:v>
      </x:c>
      <x:c r="K88" s="62" t="n">
        <x:v>0.5</x:v>
      </x:c>
      <x:c r="L88" s="57"/>
      <x:c r="M88" s="57"/>
      <x:c r="N88" s="57"/>
      <x:c r="O88" s="57"/>
      <x:c r="P88" s="58" t="n">
        <x:v>0</x:v>
      </x:c>
      <x:c r="Q88" s="55" t="str">
        <x:v>8-3-01</x:v>
      </x:c>
      <x:c r="R88" s="55" t="str">
        <x:v>ソースコード / Developer Test / docs/development/phase8-wave3-organization.md</x:v>
      </x:c>
      <x:c r="S88" s="55" t="str">
        <x:v>共通DoDを満たし、Wave実装記録を更新</x:v>
      </x:c>
      <x:c r="T88" s="55"/>
      <x:c r="U88" s="55" t="str">
        <x:v>Wave 3</x:v>
      </x:c>
      <x:c r="V88" s="55" t="str">
        <x:v>Task</x:v>
      </x:c>
      <x:c r="W88" s="55" t="str">
        <x:v>1日=4h</x:v>
      </x:c>
    </x:row>
    <x:row r="89" ht="21.600000381469727" hidden="0" customHeight="1">
      <x:c r="A89" s="55" t="str">
        <x:v>8-3-03</x:v>
      </x:c>
      <x:c r="B89" s="55" t="str">
        <x:v>Phase 8</x:v>
      </x:c>
      <x:c r="C89" s="55" t="str">
        <x:v>新規実装</x:v>
      </x:c>
      <x:c r="D89" s="55" t="str">
        <x:v>予定</x:v>
      </x:c>
      <x:c r="E89" s="55" t="str">
        <x:v>organization</x:v>
      </x:c>
      <x:c r="F89" s="55" t="str">
        <x:v>organization作成・名称変更実装</x:v>
      </x:c>
      <x:c r="G89" s="55" t="str">
        <x:v>normalize、重複検証、作成、名称変更を実装</x:v>
      </x:c>
      <x:c r="H89" s="55" t="str">
        <x:v>未着手</x:v>
      </x:c>
      <x:c r="I89" s="55" t="str">
        <x:v>High</x:v>
      </x:c>
      <x:c r="J89" s="55" t="str">
        <x:v>PO + AI支援</x:v>
      </x:c>
      <x:c r="K89" s="62" t="n">
        <x:v>0.75</x:v>
      </x:c>
      <x:c r="L89" s="57"/>
      <x:c r="M89" s="57"/>
      <x:c r="N89" s="57"/>
      <x:c r="O89" s="57"/>
      <x:c r="P89" s="58" t="n">
        <x:v>0</x:v>
      </x:c>
      <x:c r="Q89" s="55" t="str">
        <x:v>8-3-02</x:v>
      </x:c>
      <x:c r="R89" s="55" t="str">
        <x:v>ソースコード / Developer Test / docs/development/phase8-wave3-organization.md</x:v>
      </x:c>
      <x:c r="S89" s="55" t="str">
        <x:v>共通DoDを満たし、Wave実装記録を更新</x:v>
      </x:c>
      <x:c r="T89" s="55"/>
      <x:c r="U89" s="55" t="str">
        <x:v>Wave 3</x:v>
      </x:c>
      <x:c r="V89" s="55" t="str">
        <x:v>Task</x:v>
      </x:c>
      <x:c r="W89" s="55" t="str">
        <x:v>1日=4h</x:v>
      </x:c>
    </x:row>
    <x:row r="90" ht="21.600000381469727" hidden="0" customHeight="1">
      <x:c r="A90" s="55" t="str">
        <x:v>8-3-04</x:v>
      </x:c>
      <x:c r="B90" s="55" t="str">
        <x:v>Phase 8</x:v>
      </x:c>
      <x:c r="C90" s="55" t="str">
        <x:v>新規実装</x:v>
      </x:c>
      <x:c r="D90" s="55" t="str">
        <x:v>予定</x:v>
      </x:c>
      <x:c r="E90" s="55" t="str">
        <x:v>organization</x:v>
      </x:c>
      <x:c r="F90" s="55" t="str">
        <x:v>organization移動実装</x:v>
      </x:c>
      <x:c r="G90" s="55" t="str">
        <x:v>親変更、重複・循環移動防止を実装</x:v>
      </x:c>
      <x:c r="H90" s="55" t="str">
        <x:v>未着手</x:v>
      </x:c>
      <x:c r="I90" s="55" t="str">
        <x:v>High</x:v>
      </x:c>
      <x:c r="J90" s="55" t="str">
        <x:v>PO + AI支援</x:v>
      </x:c>
      <x:c r="K90" s="62" t="n">
        <x:v>0.75</x:v>
      </x:c>
      <x:c r="L90" s="57"/>
      <x:c r="M90" s="57"/>
      <x:c r="N90" s="57"/>
      <x:c r="O90" s="57"/>
      <x:c r="P90" s="58" t="n">
        <x:v>0</x:v>
      </x:c>
      <x:c r="Q90" s="55" t="str">
        <x:v>8-3-03</x:v>
      </x:c>
      <x:c r="R90" s="55" t="str">
        <x:v>ソースコード / Developer Test / docs/development/phase8-wave3-organization.md</x:v>
      </x:c>
      <x:c r="S90" s="55" t="str">
        <x:v>共通DoDを満たし、Wave実装記録を更新</x:v>
      </x:c>
      <x:c r="T90" s="55" t="str">
        <x:v>階層深さ上限は既存設計に定義があるか実装時確認</x:v>
      </x:c>
      <x:c r="U90" s="55" t="str">
        <x:v>Wave 3</x:v>
      </x:c>
      <x:c r="V90" s="55" t="str">
        <x:v>Task</x:v>
      </x:c>
      <x:c r="W90" s="55" t="str">
        <x:v>1日=4h</x:v>
      </x:c>
    </x:row>
    <x:row r="91" ht="21.600000381469727" hidden="0" customHeight="1">
      <x:c r="A91" s="55" t="str">
        <x:v>8-3-05</x:v>
      </x:c>
      <x:c r="B91" s="55" t="str">
        <x:v>Phase 8</x:v>
      </x:c>
      <x:c r="C91" s="55" t="str">
        <x:v>新規実装</x:v>
      </x:c>
      <x:c r="D91" s="55" t="str">
        <x:v>予定</x:v>
      </x:c>
      <x:c r="E91" s="55" t="str">
        <x:v>organization</x:v>
      </x:c>
      <x:c r="F91" s="55" t="str">
        <x:v>organization削除・参照チェック実装</x:v>
      </x:c>
      <x:c r="G91" s="55" t="str">
        <x:v>子organization/CURRENT/AI_SUGGESTED参照による削除制約を実装</x:v>
      </x:c>
      <x:c r="H91" s="55" t="str">
        <x:v>未着手</x:v>
      </x:c>
      <x:c r="I91" s="55" t="str">
        <x:v>High</x:v>
      </x:c>
      <x:c r="J91" s="55" t="str">
        <x:v>PO + AI支援</x:v>
      </x:c>
      <x:c r="K91" s="62" t="n">
        <x:v>0.75</x:v>
      </x:c>
      <x:c r="L91" s="57"/>
      <x:c r="M91" s="57"/>
      <x:c r="N91" s="57"/>
      <x:c r="O91" s="57"/>
      <x:c r="P91" s="58" t="n">
        <x:v>0</x:v>
      </x:c>
      <x:c r="Q91" s="55" t="str">
        <x:v>8-3-02</x:v>
      </x:c>
      <x:c r="R91" s="55" t="str">
        <x:v>ソースコード / Developer Test / docs/development/phase8-wave3-organization.md</x:v>
      </x:c>
      <x:c r="S91" s="55" t="str">
        <x:v>共通DoDを満たし、Wave実装記録を更新</x:v>
      </x:c>
      <x:c r="T91" s="55"/>
      <x:c r="U91" s="55" t="str">
        <x:v>Wave 3</x:v>
      </x:c>
      <x:c r="V91" s="55" t="str">
        <x:v>Task</x:v>
      </x:c>
      <x:c r="W91" s="55" t="str">
        <x:v>1日=4h</x:v>
      </x:c>
    </x:row>
    <x:row r="92" ht="21.600000381469727" hidden="0" customHeight="1">
      <x:c r="A92" s="55" t="str">
        <x:v>8-3-06</x:v>
      </x:c>
      <x:c r="B92" s="55" t="str">
        <x:v>Phase 8</x:v>
      </x:c>
      <x:c r="C92" s="55" t="str">
        <x:v>新規実装</x:v>
      </x:c>
      <x:c r="D92" s="55" t="str">
        <x:v>予定</x:v>
      </x:c>
      <x:c r="E92" s="55" t="str">
        <x:v>API</x:v>
      </x:c>
      <x:c r="F92" s="55" t="str">
        <x:v>Organization DTO / Controller実装</x:v>
      </x:c>
      <x:c r="G92" s="55" t="str">
        <x:v>作成・変更・移動・削除APIを実装</x:v>
      </x:c>
      <x:c r="H92" s="55" t="str">
        <x:v>未着手</x:v>
      </x:c>
      <x:c r="I92" s="55" t="str">
        <x:v>High</x:v>
      </x:c>
      <x:c r="J92" s="55" t="str">
        <x:v>PO + AI支援</x:v>
      </x:c>
      <x:c r="K92" s="62" t="n">
        <x:v>0.75</x:v>
      </x:c>
      <x:c r="L92" s="57"/>
      <x:c r="M92" s="57"/>
      <x:c r="N92" s="57"/>
      <x:c r="O92" s="57"/>
      <x:c r="P92" s="58" t="n">
        <x:v>0</x:v>
      </x:c>
      <x:c r="Q92" s="55" t="str">
        <x:v>8-3-03,8-3-04,8-3-05</x:v>
      </x:c>
      <x:c r="R92" s="55" t="str">
        <x:v>ソースコード / Developer Test / docs/development/phase8-wave3-organization.md</x:v>
      </x:c>
      <x:c r="S92" s="55" t="str">
        <x:v>共通DoDを満たし、Wave実装記録を更新</x:v>
      </x:c>
      <x:c r="T92" s="55"/>
      <x:c r="U92" s="55" t="str">
        <x:v>Wave 3</x:v>
      </x:c>
      <x:c r="V92" s="55" t="str">
        <x:v>Task</x:v>
      </x:c>
      <x:c r="W92" s="55" t="str">
        <x:v>1日=4h</x:v>
      </x:c>
    </x:row>
    <x:row r="93" ht="21.600000381469727" hidden="0" customHeight="1">
      <x:c r="A93" s="55" t="str">
        <x:v>8-3-07</x:v>
      </x:c>
      <x:c r="B93" s="55" t="str">
        <x:v>Phase 8</x:v>
      </x:c>
      <x:c r="C93" s="55" t="str">
        <x:v>新規実装</x:v>
      </x:c>
      <x:c r="D93" s="55" t="str">
        <x:v>予定</x:v>
      </x:c>
      <x:c r="E93" s="55" t="str">
        <x:v>UI</x:v>
      </x:c>
      <x:c r="F93" s="55" t="str">
        <x:v>整理構造編集UI実装</x:v>
      </x:c>
      <x:c r="G93" s="55" t="str">
        <x:v>ツリーを見ながら作成・名称変更・移動・削除できるUIを接続</x:v>
      </x:c>
      <x:c r="H93" s="55" t="str">
        <x:v>未着手</x:v>
      </x:c>
      <x:c r="I93" s="55" t="str">
        <x:v>High</x:v>
      </x:c>
      <x:c r="J93" s="55" t="str">
        <x:v>PO + AI支援</x:v>
      </x:c>
      <x:c r="K93" s="62" t="n">
        <x:v>1</x:v>
      </x:c>
      <x:c r="L93" s="57"/>
      <x:c r="M93" s="57"/>
      <x:c r="N93" s="57"/>
      <x:c r="O93" s="57"/>
      <x:c r="P93" s="58" t="n">
        <x:v>0</x:v>
      </x:c>
      <x:c r="Q93" s="55" t="str">
        <x:v>8-3-06</x:v>
      </x:c>
      <x:c r="R93" s="55" t="str">
        <x:v>ソースコード / Developer Test / docs/development/phase8-wave3-organization.md</x:v>
      </x:c>
      <x:c r="S93" s="55" t="str">
        <x:v>共通DoDを満たし、Wave実装記録を更新</x:v>
      </x:c>
      <x:c r="T93" s="55"/>
      <x:c r="U93" s="55" t="str">
        <x:v>Wave 3</x:v>
      </x:c>
      <x:c r="V93" s="55" t="str">
        <x:v>Task</x:v>
      </x:c>
      <x:c r="W93" s="55" t="str">
        <x:v>1日=4h</x:v>
      </x:c>
    </x:row>
    <x:row r="94" ht="15" hidden="0" customHeight="1">
      <x:c r="A94" s="55" t="str">
        <x:v>8-M3</x:v>
      </x:c>
      <x:c r="B94" s="55" t="str">
        <x:v>Phase 8</x:v>
      </x:c>
      <x:c r="C94" s="55" t="str">
        <x:v>新規実装</x:v>
      </x:c>
      <x:c r="D94" s="55" t="str">
        <x:v>予定</x:v>
      </x:c>
      <x:c r="E94" s="55" t="str">
        <x:v>Milestone</x:v>
      </x:c>
      <x:c r="F94" s="55" t="str">
        <x:v>Organization基本機能完了</x:v>
      </x:c>
      <x:c r="G94" s="55" t="str">
        <x:v>画面からorganization作成・変更・移動・削除可能</x:v>
      </x:c>
      <x:c r="H94" s="55" t="str">
        <x:v>未着手</x:v>
      </x:c>
      <x:c r="I94" s="55" t="str">
        <x:v>High</x:v>
      </x:c>
      <x:c r="J94" s="55" t="str">
        <x:v>PO + AI支援</x:v>
      </x:c>
      <x:c r="K94" s="62" t="n">
        <x:v>0</x:v>
      </x:c>
      <x:c r="L94" s="57"/>
      <x:c r="M94" s="57"/>
      <x:c r="N94" s="57"/>
      <x:c r="O94" s="57"/>
      <x:c r="P94" s="58" t="n">
        <x:v>0</x:v>
      </x:c>
      <x:c r="Q94" s="55" t="str">
        <x:v>8-3-07</x:v>
      </x:c>
      <x:c r="R94" s="55" t="str">
        <x:v>phase8-wave3-organization.md</x:v>
      </x:c>
      <x:c r="S94" s="55" t="str">
        <x:v>M3達成</x:v>
      </x:c>
      <x:c r="T94" s="55"/>
      <x:c r="U94" s="55" t="str">
        <x:v>Wave 3</x:v>
      </x:c>
      <x:c r="V94" s="55" t="str">
        <x:v>Milestone</x:v>
      </x:c>
      <x:c r="W94" s="55" t="str">
        <x:v>—</x:v>
      </x:c>
    </x:row>
    <x:row r="95" ht="21.600000381469727" hidden="0" customHeight="1">
      <x:c r="A95" s="55" t="str">
        <x:v>8-4-01</x:v>
      </x:c>
      <x:c r="B95" s="55" t="str">
        <x:v>Phase 8</x:v>
      </x:c>
      <x:c r="C95" s="55" t="str">
        <x:v>新規実装</x:v>
      </x:c>
      <x:c r="D95" s="55" t="str">
        <x:v>予定</x:v>
      </x:c>
      <x:c r="E95" s="55" t="str">
        <x:v>memo_organization</x:v>
      </x:c>
      <x:c r="F95" s="55" t="str">
        <x:v>CURRENT置換コア実装</x:v>
      </x:c>
      <x:c r="G95" s="55" t="str">
        <x:v>MemoOrganizationServiceにCURRENT置換と親→子順organization作成の共通処理を実装</x:v>
      </x:c>
      <x:c r="H95" s="55" t="str">
        <x:v>未着手</x:v>
      </x:c>
      <x:c r="I95" s="55" t="str">
        <x:v>High</x:v>
      </x:c>
      <x:c r="J95" s="55" t="str">
        <x:v>PO + AI支援</x:v>
      </x:c>
      <x:c r="K95" s="62" t="n">
        <x:v>1</x:v>
      </x:c>
      <x:c r="L95" s="57"/>
      <x:c r="M95" s="57"/>
      <x:c r="N95" s="57"/>
      <x:c r="O95" s="57"/>
      <x:c r="P95" s="58" t="n">
        <x:v>0</x:v>
      </x:c>
      <x:c r="Q95" s="55" t="str">
        <x:v>8-M2,8-M3</x:v>
      </x:c>
      <x:c r="R95" s="55" t="str">
        <x:v>ソースコード / Developer Test / docs/development/phase8-wave4-current.md</x:v>
      </x:c>
      <x:c r="S95" s="55" t="str">
        <x:v>共通DoDを満たし、Wave実装記録を更新</x:v>
      </x:c>
      <x:c r="T95" s="55"/>
      <x:c r="U95" s="55" t="str">
        <x:v>Wave 4</x:v>
      </x:c>
      <x:c r="V95" s="55" t="str">
        <x:v>Task</x:v>
      </x:c>
      <x:c r="W95" s="55" t="str">
        <x:v>1日=4h</x:v>
      </x:c>
    </x:row>
    <x:row r="96" ht="21.600000381469727" hidden="0" customHeight="1">
      <x:c r="A96" s="55" t="str">
        <x:v>8-4-02</x:v>
      </x:c>
      <x:c r="B96" s="55" t="str">
        <x:v>Phase 8</x:v>
      </x:c>
      <x:c r="C96" s="55" t="str">
        <x:v>新規実装</x:v>
      </x:c>
      <x:c r="D96" s="55" t="str">
        <x:v>予定</x:v>
      </x:c>
      <x:c r="E96" s="55" t="str">
        <x:v>排他</x:v>
      </x:c>
      <x:c r="F96" s="55" t="str">
        <x:v>通常整理先変更の悲観ロック・3秒timeout</x:v>
      </x:c>
      <x:c r="G96" s="55" t="str">
        <x:v>通常CURRENT変更のmemoロックとLOCK_TIMEOUTを実装</x:v>
      </x:c>
      <x:c r="H96" s="55" t="str">
        <x:v>未着手</x:v>
      </x:c>
      <x:c r="I96" s="55" t="str">
        <x:v>High</x:v>
      </x:c>
      <x:c r="J96" s="55" t="str">
        <x:v>PO + AI支援</x:v>
      </x:c>
      <x:c r="K96" s="62" t="n">
        <x:v>0.5</x:v>
      </x:c>
      <x:c r="L96" s="57"/>
      <x:c r="M96" s="57"/>
      <x:c r="N96" s="57"/>
      <x:c r="O96" s="57"/>
      <x:c r="P96" s="58" t="n">
        <x:v>0</x:v>
      </x:c>
      <x:c r="Q96" s="55" t="str">
        <x:v>8-4-01</x:v>
      </x:c>
      <x:c r="R96" s="55" t="str">
        <x:v>ソースコード / Developer Test / docs/development/phase8-wave4-current.md</x:v>
      </x:c>
      <x:c r="S96" s="55" t="str">
        <x:v>共通DoDを満たし、Wave実装記録を更新</x:v>
      </x:c>
      <x:c r="T96" s="55"/>
      <x:c r="U96" s="55" t="str">
        <x:v>Wave 4</x:v>
      </x:c>
      <x:c r="V96" s="55" t="str">
        <x:v>Task</x:v>
      </x:c>
      <x:c r="W96" s="55" t="str">
        <x:v>1日=4h</x:v>
      </x:c>
    </x:row>
    <x:row r="97" ht="21.600000381469727" hidden="0" customHeight="1">
      <x:c r="A97" s="55" t="str">
        <x:v>8-4-03</x:v>
      </x:c>
      <x:c r="B97" s="55" t="str">
        <x:v>Phase 8</x:v>
      </x:c>
      <x:c r="C97" s="55" t="str">
        <x:v>新規実装</x:v>
      </x:c>
      <x:c r="D97" s="55" t="str">
        <x:v>予定</x:v>
      </x:c>
      <x:c r="E97" s="55" t="str">
        <x:v>memo_organization</x:v>
      </x:c>
      <x:c r="F97" s="55" t="str">
        <x:v>複数CURRENT対応</x:v>
      </x:c>
      <x:c r="G97" s="55" t="str">
        <x:v>memoの複数organization所属を正しく更新・取得できるようにする</x:v>
      </x:c>
      <x:c r="H97" s="55" t="str">
        <x:v>未着手</x:v>
      </x:c>
      <x:c r="I97" s="55" t="str">
        <x:v>High</x:v>
      </x:c>
      <x:c r="J97" s="55" t="str">
        <x:v>PO + AI支援</x:v>
      </x:c>
      <x:c r="K97" s="62" t="n">
        <x:v>0.5</x:v>
      </x:c>
      <x:c r="L97" s="57"/>
      <x:c r="M97" s="57"/>
      <x:c r="N97" s="57"/>
      <x:c r="O97" s="57"/>
      <x:c r="P97" s="58" t="n">
        <x:v>0</x:v>
      </x:c>
      <x:c r="Q97" s="55" t="str">
        <x:v>8-4-01</x:v>
      </x:c>
      <x:c r="R97" s="55" t="str">
        <x:v>ソースコード / Developer Test / docs/development/phase8-wave4-current.md</x:v>
      </x:c>
      <x:c r="S97" s="55" t="str">
        <x:v>共通DoDを満たし、Wave実装記録を更新</x:v>
      </x:c>
      <x:c r="T97" s="55"/>
      <x:c r="U97" s="55" t="str">
        <x:v>Wave 4</x:v>
      </x:c>
      <x:c r="V97" s="55" t="str">
        <x:v>Task</x:v>
      </x:c>
      <x:c r="W97" s="55" t="str">
        <x:v>1日=4h</x:v>
      </x:c>
    </x:row>
    <x:row r="98" ht="21.600000381469727" hidden="0" customHeight="1">
      <x:c r="A98" s="55" t="str">
        <x:v>8-4-04</x:v>
      </x:c>
      <x:c r="B98" s="55" t="str">
        <x:v>Phase 8</x:v>
      </x:c>
      <x:c r="C98" s="55" t="str">
        <x:v>新規実装</x:v>
      </x:c>
      <x:c r="D98" s="55" t="str">
        <x:v>予定</x:v>
      </x:c>
      <x:c r="E98" s="55" t="str">
        <x:v>outdated</x:v>
      </x:c>
      <x:c r="F98" s="55" t="str">
        <x:v>手動CURRENT outdated判定</x:v>
      </x:c>
      <x:c r="G98" s="55" t="str">
        <x:v>ai_process_id=NULLのCURRENTをmemo_organizations.created_at基準で判定しDTOへ反映</x:v>
      </x:c>
      <x:c r="H98" s="55" t="str">
        <x:v>未着手</x:v>
      </x:c>
      <x:c r="I98" s="55" t="str">
        <x:v>High</x:v>
      </x:c>
      <x:c r="J98" s="55" t="str">
        <x:v>PO + AI支援</x:v>
      </x:c>
      <x:c r="K98" s="62" t="n">
        <x:v>0.5</x:v>
      </x:c>
      <x:c r="L98" s="57"/>
      <x:c r="M98" s="57"/>
      <x:c r="N98" s="57"/>
      <x:c r="O98" s="57"/>
      <x:c r="P98" s="58" t="n">
        <x:v>0</x:v>
      </x:c>
      <x:c r="Q98" s="55" t="str">
        <x:v>8-4-03</x:v>
      </x:c>
      <x:c r="R98" s="55" t="str">
        <x:v>ソースコード / Developer Test / docs/development/phase8-wave4-current.md</x:v>
      </x:c>
      <x:c r="S98" s="55" t="str">
        <x:v>共通DoDを満たし、Wave実装記録を更新</x:v>
      </x:c>
      <x:c r="T98" s="55"/>
      <x:c r="U98" s="55" t="str">
        <x:v>Wave 4</x:v>
      </x:c>
      <x:c r="V98" s="55" t="str">
        <x:v>Task</x:v>
      </x:c>
      <x:c r="W98" s="55" t="str">
        <x:v>1日=4h</x:v>
      </x:c>
    </x:row>
    <x:row r="99" ht="21.600000381469727" hidden="0" customHeight="1">
      <x:c r="A99" s="55" t="str">
        <x:v>8-4-05</x:v>
      </x:c>
      <x:c r="B99" s="55" t="str">
        <x:v>Phase 8</x:v>
      </x:c>
      <x:c r="C99" s="55" t="str">
        <x:v>新規実装</x:v>
      </x:c>
      <x:c r="D99" s="55" t="str">
        <x:v>予定</x:v>
      </x:c>
      <x:c r="E99" s="55" t="str">
        <x:v>API/UI</x:v>
      </x:c>
      <x:c r="F99" s="55" t="str">
        <x:v>通常整理先変更API・UI</x:v>
      </x:c>
      <x:c r="G99" s="55" t="str">
        <x:v>memo詳細からCURRENTを表示・手動変更できるよう接続</x:v>
      </x:c>
      <x:c r="H99" s="55" t="str">
        <x:v>未着手</x:v>
      </x:c>
      <x:c r="I99" s="55" t="str">
        <x:v>High</x:v>
      </x:c>
      <x:c r="J99" s="55" t="str">
        <x:v>PO + AI支援</x:v>
      </x:c>
      <x:c r="K99" s="62" t="n">
        <x:v>1</x:v>
      </x:c>
      <x:c r="L99" s="57"/>
      <x:c r="M99" s="57"/>
      <x:c r="N99" s="57"/>
      <x:c r="O99" s="57"/>
      <x:c r="P99" s="58" t="n">
        <x:v>0</x:v>
      </x:c>
      <x:c r="Q99" s="55" t="str">
        <x:v>8-4-02,8-4-04</x:v>
      </x:c>
      <x:c r="R99" s="55" t="str">
        <x:v>ソースコード / Developer Test / docs/development/phase8-wave4-current.md</x:v>
      </x:c>
      <x:c r="S99" s="55" t="str">
        <x:v>共通DoDを満たし、Wave実装記録を更新</x:v>
      </x:c>
      <x:c r="T99" s="55"/>
      <x:c r="U99" s="55" t="str">
        <x:v>Wave 4</x:v>
      </x:c>
      <x:c r="V99" s="55" t="str">
        <x:v>Task</x:v>
      </x:c>
      <x:c r="W99" s="55" t="str">
        <x:v>1日=4h</x:v>
      </x:c>
    </x:row>
    <x:row r="100" ht="21.600000381469727" hidden="0" customHeight="1">
      <x:c r="A100" s="55" t="str">
        <x:v>8-4-06</x:v>
      </x:c>
      <x:c r="B100" s="55" t="str">
        <x:v>Phase 8</x:v>
      </x:c>
      <x:c r="C100" s="55" t="str">
        <x:v>新規実装</x:v>
      </x:c>
      <x:c r="D100" s="55" t="str">
        <x:v>予定</x:v>
      </x:c>
      <x:c r="E100" s="55" t="str">
        <x:v>Developer Test</x:v>
      </x:c>
      <x:c r="F100" s="55" t="str">
        <x:v>悲観ロック実PostgreSQL確認</x:v>
      </x:c>
      <x:c r="G100" s="55" t="str">
        <x:v>実PostgreSQLで3秒ロックtimeoutを含む悲観ロックの動作を1本確認</x:v>
      </x:c>
      <x:c r="H100" s="55" t="str">
        <x:v>未着手</x:v>
      </x:c>
      <x:c r="I100" s="55" t="str">
        <x:v>High</x:v>
      </x:c>
      <x:c r="J100" s="55" t="str">
        <x:v>PO + AI支援</x:v>
      </x:c>
      <x:c r="K100" s="62" t="n">
        <x:v>0.5</x:v>
      </x:c>
      <x:c r="L100" s="57"/>
      <x:c r="M100" s="57"/>
      <x:c r="N100" s="57"/>
      <x:c r="O100" s="57"/>
      <x:c r="P100" s="58" t="n">
        <x:v>0</x:v>
      </x:c>
      <x:c r="Q100" s="55" t="str">
        <x:v>8-4-02</x:v>
      </x:c>
      <x:c r="R100" s="55" t="str">
        <x:v>ソースコード / Developer Test / docs/development/phase8-wave4-current.md</x:v>
      </x:c>
      <x:c r="S100" s="55" t="str">
        <x:v>共通DoDを満たし、Wave実装記録を更新</x:v>
      </x:c>
      <x:c r="T100" s="55"/>
      <x:c r="U100" s="55" t="str">
        <x:v>Wave 4</x:v>
      </x:c>
      <x:c r="V100" s="55" t="str">
        <x:v>Task</x:v>
      </x:c>
      <x:c r="W100" s="55" t="str">
        <x:v>1日=4h</x:v>
      </x:c>
    </x:row>
    <x:row r="101" ht="15" hidden="0" customHeight="1">
      <x:c r="A101" s="55" t="str">
        <x:v>8-M4</x:v>
      </x:c>
      <x:c r="B101" s="55" t="str">
        <x:v>Phase 8</x:v>
      </x:c>
      <x:c r="C101" s="55" t="str">
        <x:v>新規実装</x:v>
      </x:c>
      <x:c r="D101" s="55" t="str">
        <x:v>予定</x:v>
      </x:c>
      <x:c r="E101" s="55" t="str">
        <x:v>Milestone</x:v>
      </x:c>
      <x:c r="F101" s="55" t="str">
        <x:v>手動整理E2E完了</x:v>
      </x:c>
      <x:c r="G101" s="55" t="str">
        <x:v>AIを使わずmemoの整理先を変更できる</x:v>
      </x:c>
      <x:c r="H101" s="55" t="str">
        <x:v>未着手</x:v>
      </x:c>
      <x:c r="I101" s="55" t="str">
        <x:v>High</x:v>
      </x:c>
      <x:c r="J101" s="55" t="str">
        <x:v>PO + AI支援</x:v>
      </x:c>
      <x:c r="K101" s="62" t="n">
        <x:v>0</x:v>
      </x:c>
      <x:c r="L101" s="57"/>
      <x:c r="M101" s="57"/>
      <x:c r="N101" s="57"/>
      <x:c r="O101" s="57"/>
      <x:c r="P101" s="58" t="n">
        <x:v>0</x:v>
      </x:c>
      <x:c r="Q101" s="55" t="str">
        <x:v>8-4-05,8-4-06</x:v>
      </x:c>
      <x:c r="R101" s="55" t="str">
        <x:v>phase8-wave4-current.md</x:v>
      </x:c>
      <x:c r="S101" s="55" t="str">
        <x:v>M4達成</x:v>
      </x:c>
      <x:c r="T101" s="55"/>
      <x:c r="U101" s="55" t="str">
        <x:v>Wave 4</x:v>
      </x:c>
      <x:c r="V101" s="55" t="str">
        <x:v>Milestone</x:v>
      </x:c>
      <x:c r="W101" s="55" t="str">
        <x:v>—</x:v>
      </x:c>
    </x:row>
    <x:row r="102" ht="21.600000381469727" hidden="0" customHeight="1">
      <x:c r="A102" s="55" t="str">
        <x:v>8-0B-01</x:v>
      </x:c>
      <x:c r="B102" s="55" t="str">
        <x:v>Phase 8</x:v>
      </x:c>
      <x:c r="C102" s="55" t="str">
        <x:v>新規実装</x:v>
      </x:c>
      <x:c r="D102" s="55" t="str">
        <x:v>予定</x:v>
      </x:c>
      <x:c r="E102" s="55" t="str">
        <x:v>非同期</x:v>
      </x:c>
      <x:c r="F102" s="55" t="str">
        <x:v>AI非同期実行方式具体化</x:v>
      </x:c>
      <x:c r="G102" s="55" t="str">
        <x:v>既決の非同期方針を前提にExecutor/呼び出し境界/API応答/状態取得方式を具体化</x:v>
      </x:c>
      <x:c r="H102" s="55" t="str">
        <x:v>未着手</x:v>
      </x:c>
      <x:c r="I102" s="55" t="str">
        <x:v>High</x:v>
      </x:c>
      <x:c r="J102" s="55" t="str">
        <x:v>PO + AI支援</x:v>
      </x:c>
      <x:c r="K102" s="62" t="n">
        <x:v>0.5</x:v>
      </x:c>
      <x:c r="L102" s="57"/>
      <x:c r="M102" s="57"/>
      <x:c r="N102" s="57"/>
      <x:c r="O102" s="57"/>
      <x:c r="P102" s="58" t="n">
        <x:v>0</x:v>
      </x:c>
      <x:c r="Q102" s="55" t="str">
        <x:v>8-M4</x:v>
      </x:c>
      <x:c r="R102" s="55" t="str">
        <x:v>ソースコード / Developer Test / docs/development/phase8-wave0b-ai-decisions.md</x:v>
      </x:c>
      <x:c r="S102" s="55" t="str">
        <x:v>共通DoDを満たし、Wave実装記録を更新</x:v>
      </x:c>
      <x:c r="T102" s="55"/>
      <x:c r="U102" s="55" t="str">
        <x:v>Wave 0-B</x:v>
      </x:c>
      <x:c r="V102" s="55" t="str">
        <x:v>Task</x:v>
      </x:c>
      <x:c r="W102" s="55" t="str">
        <x:v>1日=4h</x:v>
      </x:c>
    </x:row>
    <x:row r="103" ht="21.600000381469727" hidden="0" customHeight="1">
      <x:c r="A103" s="55" t="str">
        <x:v>8-0B-02</x:v>
      </x:c>
      <x:c r="B103" s="55" t="str">
        <x:v>Phase 8</x:v>
      </x:c>
      <x:c r="C103" s="55" t="str">
        <x:v>新規実装</x:v>
      </x:c>
      <x:c r="D103" s="55" t="str">
        <x:v>予定</x:v>
      </x:c>
      <x:c r="E103" s="55" t="str">
        <x:v>AI契約</x:v>
      </x:c>
      <x:c r="F103" s="55" t="str">
        <x:v>AI Request / Response JSON契約確定</x:v>
      </x:c>
      <x:c r="G103" s="55" t="str">
        <x:v>INITIAL/REORGANIZEのDTO・構造化JSON契約を確定</x:v>
      </x:c>
      <x:c r="H103" s="55" t="str">
        <x:v>未着手</x:v>
      </x:c>
      <x:c r="I103" s="55" t="str">
        <x:v>High</x:v>
      </x:c>
      <x:c r="J103" s="55" t="str">
        <x:v>PO + AI支援</x:v>
      </x:c>
      <x:c r="K103" s="62" t="n">
        <x:v>0.5</x:v>
      </x:c>
      <x:c r="L103" s="57"/>
      <x:c r="M103" s="57"/>
      <x:c r="N103" s="57"/>
      <x:c r="O103" s="57"/>
      <x:c r="P103" s="58" t="n">
        <x:v>0</x:v>
      </x:c>
      <x:c r="Q103" s="55" t="str">
        <x:v>8-0B-01</x:v>
      </x:c>
      <x:c r="R103" s="55" t="str">
        <x:v>ソースコード / Developer Test / docs/development/phase8-wave0b-ai-decisions.md</x:v>
      </x:c>
      <x:c r="S103" s="55" t="str">
        <x:v>共通DoDを満たし、Wave実装記録を更新</x:v>
      </x:c>
      <x:c r="T103" s="55"/>
      <x:c r="U103" s="55" t="str">
        <x:v>Wave 0-B</x:v>
      </x:c>
      <x:c r="V103" s="55" t="str">
        <x:v>Task</x:v>
      </x:c>
      <x:c r="W103" s="55" t="str">
        <x:v>1日=4h</x:v>
      </x:c>
    </x:row>
    <x:row r="104" ht="21.600000381469727" hidden="0" customHeight="1">
      <x:c r="A104" s="55" t="str">
        <x:v>8-0B-03</x:v>
      </x:c>
      <x:c r="B104" s="55" t="str">
        <x:v>Phase 8</x:v>
      </x:c>
      <x:c r="C104" s="55" t="str">
        <x:v>新規実装</x:v>
      </x:c>
      <x:c r="D104" s="55" t="str">
        <x:v>予定</x:v>
      </x:c>
      <x:c r="E104" s="55" t="str">
        <x:v>AI技術</x:v>
      </x:c>
      <x:c r="F104" s="55" t="str">
        <x:v>AI Service技術選定確定</x:v>
      </x:c>
      <x:c r="G104" s="55" t="str">
        <x:v>AI Service言語/Framework、LLM provider、構造化出力、APIキー管理を確定</x:v>
      </x:c>
      <x:c r="H104" s="55" t="str">
        <x:v>未着手</x:v>
      </x:c>
      <x:c r="I104" s="55" t="str">
        <x:v>High</x:v>
      </x:c>
      <x:c r="J104" s="55" t="str">
        <x:v>PO + AI支援</x:v>
      </x:c>
      <x:c r="K104" s="62" t="n">
        <x:v>0.5</x:v>
      </x:c>
      <x:c r="L104" s="57"/>
      <x:c r="M104" s="57"/>
      <x:c r="N104" s="57"/>
      <x:c r="O104" s="57"/>
      <x:c r="P104" s="58" t="n">
        <x:v>0</x:v>
      </x:c>
      <x:c r="Q104" s="55" t="str">
        <x:v>8-0B-02</x:v>
      </x:c>
      <x:c r="R104" s="55" t="str">
        <x:v>ソースコード / Developer Test / docs/development/phase8-wave0b-ai-decisions.md</x:v>
      </x:c>
      <x:c r="S104" s="55" t="str">
        <x:v>共通DoDを満たし、Wave実装記録を更新</x:v>
      </x:c>
      <x:c r="T104" s="55"/>
      <x:c r="U104" s="55" t="str">
        <x:v>Wave 0-B</x:v>
      </x:c>
      <x:c r="V104" s="55" t="str">
        <x:v>Task</x:v>
      </x:c>
      <x:c r="W104" s="55" t="str">
        <x:v>1日=4h</x:v>
      </x:c>
    </x:row>
    <x:row r="105" ht="21.600000381469727" hidden="0" customHeight="1">
      <x:c r="A105" s="55" t="str">
        <x:v>8-0B-04</x:v>
      </x:c>
      <x:c r="B105" s="55" t="str">
        <x:v>Phase 8</x:v>
      </x:c>
      <x:c r="C105" s="55" t="str">
        <x:v>新規実装</x:v>
      </x:c>
      <x:c r="D105" s="55" t="str">
        <x:v>予定</x:v>
      </x:c>
      <x:c r="E105" s="55" t="str">
        <x:v>HTTP</x:v>
      </x:c>
      <x:c r="F105" s="55" t="str">
        <x:v>HTTP Client / 内部APIキー方式確定</x:v>
      </x:c>
      <x:c r="G105" s="55" t="str">
        <x:v>Client方式、Header名、connect/response timeout設定方式を確定</x:v>
      </x:c>
      <x:c r="H105" s="55" t="str">
        <x:v>未着手</x:v>
      </x:c>
      <x:c r="I105" s="55" t="str">
        <x:v>High</x:v>
      </x:c>
      <x:c r="J105" s="55" t="str">
        <x:v>PO + AI支援</x:v>
      </x:c>
      <x:c r="K105" s="62" t="n">
        <x:v>0.25</x:v>
      </x:c>
      <x:c r="L105" s="57"/>
      <x:c r="M105" s="57"/>
      <x:c r="N105" s="57"/>
      <x:c r="O105" s="57"/>
      <x:c r="P105" s="58" t="n">
        <x:v>0</x:v>
      </x:c>
      <x:c r="Q105" s="55" t="str">
        <x:v>8-0B-03</x:v>
      </x:c>
      <x:c r="R105" s="55" t="str">
        <x:v>ソースコード / Developer Test / docs/development/phase8-wave0b-ai-decisions.md</x:v>
      </x:c>
      <x:c r="S105" s="55" t="str">
        <x:v>共通DoDを満たし、Wave実装記録を更新</x:v>
      </x:c>
      <x:c r="T105" s="55"/>
      <x:c r="U105" s="55" t="str">
        <x:v>Wave 0-B</x:v>
      </x:c>
      <x:c r="V105" s="55" t="str">
        <x:v>Task</x:v>
      </x:c>
      <x:c r="W105" s="55" t="str">
        <x:v>1日=4h</x:v>
      </x:c>
    </x:row>
    <x:row r="106" ht="21.600000381469727" hidden="0" customHeight="1">
      <x:c r="A106" s="55" t="str">
        <x:v>8-0B-05</x:v>
      </x:c>
      <x:c r="B106" s="55" t="str">
        <x:v>Phase 8</x:v>
      </x:c>
      <x:c r="C106" s="55" t="str">
        <x:v>新規実装</x:v>
      </x:c>
      <x:c r="D106" s="55" t="str">
        <x:v>予定</x:v>
      </x:c>
      <x:c r="E106" s="55" t="str">
        <x:v>UseCase</x:v>
      </x:c>
      <x:c r="F106" s="55" t="str">
        <x:v>上位UseCase構成・Tx境界具体化</x:v>
      </x:c>
      <x:c r="G106" s="55" t="str">
        <x:v>開始Tx/非同期通信/反映Txを担当するクラス構成を具体化</x:v>
      </x:c>
      <x:c r="H106" s="55" t="str">
        <x:v>未着手</x:v>
      </x:c>
      <x:c r="I106" s="55" t="str">
        <x:v>High</x:v>
      </x:c>
      <x:c r="J106" s="55" t="str">
        <x:v>PO + AI支援</x:v>
      </x:c>
      <x:c r="K106" s="62" t="n">
        <x:v>0.25</x:v>
      </x:c>
      <x:c r="L106" s="57"/>
      <x:c r="M106" s="57"/>
      <x:c r="N106" s="57"/>
      <x:c r="O106" s="57"/>
      <x:c r="P106" s="58" t="n">
        <x:v>0</x:v>
      </x:c>
      <x:c r="Q106" s="55" t="str">
        <x:v>8-0B-04</x:v>
      </x:c>
      <x:c r="R106" s="55" t="str">
        <x:v>ソースコード / Developer Test / docs/development/phase8-wave0b-ai-decisions.md</x:v>
      </x:c>
      <x:c r="S106" s="55" t="str">
        <x:v>共通DoDを満たし、Wave実装記録を更新</x:v>
      </x:c>
      <x:c r="T106" s="55"/>
      <x:c r="U106" s="55" t="str">
        <x:v>Wave 0-B</x:v>
      </x:c>
      <x:c r="V106" s="55" t="str">
        <x:v>Task</x:v>
      </x:c>
      <x:c r="W106" s="55" t="str">
        <x:v>1日=4h</x:v>
      </x:c>
    </x:row>
    <x:row r="107" ht="21.600000381469727" hidden="0" customHeight="1">
      <x:c r="A107" s="55" t="str">
        <x:v>8-0B-06</x:v>
      </x:c>
      <x:c r="B107" s="55" t="str">
        <x:v>Phase 8</x:v>
      </x:c>
      <x:c r="C107" s="55" t="str">
        <x:v>新規実装</x:v>
      </x:c>
      <x:c r="D107" s="55" t="str">
        <x:v>予定</x:v>
      </x:c>
      <x:c r="E107" s="55" t="str">
        <x:v>snapshot</x:v>
      </x:c>
      <x:c r="F107" s="55" t="str">
        <x:v>AI入力snapshot範囲確定</x:v>
      </x:c>
      <x:c r="G107" s="55" t="str">
        <x:v>原文に加えCURRENT/organization構造等、開始Tx内で取得する具体項目を確定</x:v>
      </x:c>
      <x:c r="H107" s="55" t="str">
        <x:v>未着手</x:v>
      </x:c>
      <x:c r="I107" s="55" t="str">
        <x:v>High</x:v>
      </x:c>
      <x:c r="J107" s="55" t="str">
        <x:v>PO + AI支援</x:v>
      </x:c>
      <x:c r="K107" s="62" t="n">
        <x:v>0.25</x:v>
      </x:c>
      <x:c r="L107" s="57"/>
      <x:c r="M107" s="57"/>
      <x:c r="N107" s="57"/>
      <x:c r="O107" s="57"/>
      <x:c r="P107" s="58" t="n">
        <x:v>0</x:v>
      </x:c>
      <x:c r="Q107" s="55" t="str">
        <x:v>8-0B-05</x:v>
      </x:c>
      <x:c r="R107" s="55" t="str">
        <x:v>ソースコード / Developer Test / docs/development/phase8-wave0b-ai-decisions.md</x:v>
      </x:c>
      <x:c r="S107" s="55" t="str">
        <x:v>共通DoDを満たし、Wave実装記録を更新</x:v>
      </x:c>
      <x:c r="T107" s="55"/>
      <x:c r="U107" s="55" t="str">
        <x:v>Wave 0-B</x:v>
      </x:c>
      <x:c r="V107" s="55" t="str">
        <x:v>Task</x:v>
      </x:c>
      <x:c r="W107" s="55" t="str">
        <x:v>1日=4h</x:v>
      </x:c>
    </x:row>
    <x:row r="108" ht="21.600000381469727" hidden="0" customHeight="1">
      <x:c r="A108" s="55" t="str">
        <x:v>8-0B-07</x:v>
      </x:c>
      <x:c r="B108" s="55" t="str">
        <x:v>Phase 8</x:v>
      </x:c>
      <x:c r="C108" s="55" t="str">
        <x:v>新規実装</x:v>
      </x:c>
      <x:c r="D108" s="55" t="str">
        <x:v>予定</x:v>
      </x:c>
      <x:c r="E108" s="55" t="str">
        <x:v>Spike</x:v>
      </x:c>
      <x:c r="F108" s="55" t="str">
        <x:v>LLMフィージビリティ確認</x:v>
      </x:c>
      <x:c r="G108" s="55" t="str">
        <x:v>実用的な階層JSONを構造化出力として返せるか最小スパイクで確認</x:v>
      </x:c>
      <x:c r="H108" s="55" t="str">
        <x:v>未着手</x:v>
      </x:c>
      <x:c r="I108" s="55" t="str">
        <x:v>High</x:v>
      </x:c>
      <x:c r="J108" s="55" t="str">
        <x:v>PO + AI支援</x:v>
      </x:c>
      <x:c r="K108" s="62" t="n">
        <x:v>0.75</x:v>
      </x:c>
      <x:c r="L108" s="57"/>
      <x:c r="M108" s="57"/>
      <x:c r="N108" s="57"/>
      <x:c r="O108" s="57"/>
      <x:c r="P108" s="58" t="n">
        <x:v>0</x:v>
      </x:c>
      <x:c r="Q108" s="55" t="str">
        <x:v>8-0B-03</x:v>
      </x:c>
      <x:c r="R108" s="55" t="str">
        <x:v>ソースコード / Developer Test / docs/development/phase8-wave0b-ai-decisions.md</x:v>
      </x:c>
      <x:c r="S108" s="55" t="str">
        <x:v>共通DoDを満たし、Wave実装記録を更新</x:v>
      </x:c>
      <x:c r="T108" s="55"/>
      <x:c r="U108" s="55" t="str">
        <x:v>Wave 0-B</x:v>
      </x:c>
      <x:c r="V108" s="55" t="str">
        <x:v>Task</x:v>
      </x:c>
      <x:c r="W108" s="55" t="str">
        <x:v>1日=4h</x:v>
      </x:c>
    </x:row>
    <x:row r="109" ht="15" hidden="0" customHeight="1">
      <x:c r="A109" s="55" t="str">
        <x:v>8-M0B</x:v>
      </x:c>
      <x:c r="B109" s="55" t="str">
        <x:v>Phase 8</x:v>
      </x:c>
      <x:c r="C109" s="55" t="str">
        <x:v>新規実装</x:v>
      </x:c>
      <x:c r="D109" s="55" t="str">
        <x:v>予定</x:v>
      </x:c>
      <x:c r="E109" s="55" t="str">
        <x:v>Milestone</x:v>
      </x:c>
      <x:c r="F109" s="55" t="str">
        <x:v>Wave 0-B完了</x:v>
      </x:c>
      <x:c r="G109" s="55" t="str">
        <x:v>AI実装開始前の技術前提とLLM実現性を確認</x:v>
      </x:c>
      <x:c r="H109" s="55" t="str">
        <x:v>未着手</x:v>
      </x:c>
      <x:c r="I109" s="55" t="str">
        <x:v>High</x:v>
      </x:c>
      <x:c r="J109" s="55" t="str">
        <x:v>PO + AI支援</x:v>
      </x:c>
      <x:c r="K109" s="62" t="n">
        <x:v>0</x:v>
      </x:c>
      <x:c r="L109" s="57"/>
      <x:c r="M109" s="57"/>
      <x:c r="N109" s="57"/>
      <x:c r="O109" s="57"/>
      <x:c r="P109" s="58" t="n">
        <x:v>0</x:v>
      </x:c>
      <x:c r="Q109" s="55" t="str">
        <x:v>8-0B-06,8-0B-07</x:v>
      </x:c>
      <x:c r="R109" s="55" t="str">
        <x:v>phase8-wave0b-ai-decisions.md</x:v>
      </x:c>
      <x:c r="S109" s="55" t="str">
        <x:v>Wave 5/6開始条件を満たす</x:v>
      </x:c>
      <x:c r="T109" s="55"/>
      <x:c r="U109" s="55" t="str">
        <x:v>Wave 0-B</x:v>
      </x:c>
      <x:c r="V109" s="55" t="str">
        <x:v>Milestone</x:v>
      </x:c>
      <x:c r="W109" s="55" t="str">
        <x:v>—</x:v>
      </x:c>
    </x:row>
    <x:row r="110" ht="21.600000381469727" hidden="0" customHeight="1">
      <x:c r="A110" s="55" t="str">
        <x:v>8-5-01</x:v>
      </x:c>
      <x:c r="B110" s="55" t="str">
        <x:v>Phase 8</x:v>
      </x:c>
      <x:c r="C110" s="55" t="str">
        <x:v>新規実装</x:v>
      </x:c>
      <x:c r="D110" s="55" t="str">
        <x:v>予定</x:v>
      </x:c>
      <x:c r="E110" s="55" t="str">
        <x:v>AI Process</x:v>
      </x:c>
      <x:c r="F110" s="55" t="str">
        <x:v>AiProcessRepository詳細実装</x:v>
      </x:c>
      <x:c r="G110" s="55" t="str">
        <x:v>状態・件数・FIFO・条件付きUPDATEに必要なQueryを実装</x:v>
      </x:c>
      <x:c r="H110" s="55" t="str">
        <x:v>未着手</x:v>
      </x:c>
      <x:c r="I110" s="55" t="str">
        <x:v>High</x:v>
      </x:c>
      <x:c r="J110" s="55" t="str">
        <x:v>PO + AI支援</x:v>
      </x:c>
      <x:c r="K110" s="62" t="n">
        <x:v>0.75</x:v>
      </x:c>
      <x:c r="L110" s="57"/>
      <x:c r="M110" s="57"/>
      <x:c r="N110" s="57"/>
      <x:c r="O110" s="57"/>
      <x:c r="P110" s="58" t="n">
        <x:v>0</x:v>
      </x:c>
      <x:c r="Q110" s="55" t="str">
        <x:v>8-M0B,8-M1</x:v>
      </x:c>
      <x:c r="R110" s="55" t="str">
        <x:v>ソースコード / Developer Test / docs/development/phase8-wave5-ai-process.md</x:v>
      </x:c>
      <x:c r="S110" s="55" t="str">
        <x:v>共通DoDを満たし、Wave実装記録を更新</x:v>
      </x:c>
      <x:c r="T110" s="55"/>
      <x:c r="U110" s="55" t="str">
        <x:v>Wave 5</x:v>
      </x:c>
      <x:c r="V110" s="55" t="str">
        <x:v>Task</x:v>
      </x:c>
      <x:c r="W110" s="55" t="str">
        <x:v>1日=4h</x:v>
      </x:c>
    </x:row>
    <x:row r="111" ht="21.600000381469727" hidden="0" customHeight="1">
      <x:c r="A111" s="55" t="str">
        <x:v>8-5-02</x:v>
      </x:c>
      <x:c r="B111" s="55" t="str">
        <x:v>Phase 8</x:v>
      </x:c>
      <x:c r="C111" s="55" t="str">
        <x:v>新規実装</x:v>
      </x:c>
      <x:c r="D111" s="55" t="str">
        <x:v>予定</x:v>
      </x:c>
      <x:c r="E111" s="55" t="str">
        <x:v>AI Process</x:v>
      </x:c>
      <x:c r="F111" s="55" t="str">
        <x:v>PROCESSING作成・基本状態遷移</x:v>
      </x:c>
      <x:c r="G111" s="55" t="str">
        <x:v>createProcessingとCOMPLETED/FAILED/CANCELLEDへの条件付き遷移を実装</x:v>
      </x:c>
      <x:c r="H111" s="55" t="str">
        <x:v>未着手</x:v>
      </x:c>
      <x:c r="I111" s="55" t="str">
        <x:v>High</x:v>
      </x:c>
      <x:c r="J111" s="55" t="str">
        <x:v>PO + AI支援</x:v>
      </x:c>
      <x:c r="K111" s="62" t="n">
        <x:v>0.75</x:v>
      </x:c>
      <x:c r="L111" s="57"/>
      <x:c r="M111" s="57"/>
      <x:c r="N111" s="57"/>
      <x:c r="O111" s="57"/>
      <x:c r="P111" s="58" t="n">
        <x:v>0</x:v>
      </x:c>
      <x:c r="Q111" s="55" t="str">
        <x:v>8-5-01</x:v>
      </x:c>
      <x:c r="R111" s="55" t="str">
        <x:v>ソースコード / Developer Test / docs/development/phase8-wave5-ai-process.md</x:v>
      </x:c>
      <x:c r="S111" s="55" t="str">
        <x:v>共通DoDを満たし、Wave実装記録を更新</x:v>
      </x:c>
      <x:c r="T111" s="55"/>
      <x:c r="U111" s="55" t="str">
        <x:v>Wave 5</x:v>
      </x:c>
      <x:c r="V111" s="55" t="str">
        <x:v>Task</x:v>
      </x:c>
      <x:c r="W111" s="55" t="str">
        <x:v>1日=4h</x:v>
      </x:c>
    </x:row>
    <x:row r="112" ht="21.600000381469727" hidden="0" customHeight="1">
      <x:c r="A112" s="55" t="str">
        <x:v>8-5-03</x:v>
      </x:c>
      <x:c r="B112" s="55" t="str">
        <x:v>Phase 8</x:v>
      </x:c>
      <x:c r="C112" s="55" t="str">
        <x:v>新規実装</x:v>
      </x:c>
      <x:c r="D112" s="55" t="str">
        <x:v>予定</x:v>
      </x:c>
      <x:c r="E112" s="55" t="str">
        <x:v>AI Process</x:v>
      </x:c>
      <x:c r="F112" s="55" t="str">
        <x:v>INITIAL開始条件実装</x:v>
      </x:c>
      <x:c r="G112" s="55" t="str">
        <x:v>CURRENTなし・残留回復・重複PROCESSING防止等を実装</x:v>
      </x:c>
      <x:c r="H112" s="55" t="str">
        <x:v>未着手</x:v>
      </x:c>
      <x:c r="I112" s="55" t="str">
        <x:v>High</x:v>
      </x:c>
      <x:c r="J112" s="55" t="str">
        <x:v>PO + AI支援</x:v>
      </x:c>
      <x:c r="K112" s="62" t="n">
        <x:v>0.75</x:v>
      </x:c>
      <x:c r="L112" s="57"/>
      <x:c r="M112" s="57"/>
      <x:c r="N112" s="57"/>
      <x:c r="O112" s="57"/>
      <x:c r="P112" s="58" t="n">
        <x:v>0</x:v>
      </x:c>
      <x:c r="Q112" s="55" t="str">
        <x:v>8-5-02</x:v>
      </x:c>
      <x:c r="R112" s="55" t="str">
        <x:v>ソースコード / Developer Test / docs/development/phase8-wave5-ai-process.md</x:v>
      </x:c>
      <x:c r="S112" s="55" t="str">
        <x:v>共通DoDを満たし、Wave実装記録を更新</x:v>
      </x:c>
      <x:c r="T112" s="55"/>
      <x:c r="U112" s="55" t="str">
        <x:v>Wave 5</x:v>
      </x:c>
      <x:c r="V112" s="55" t="str">
        <x:v>Task</x:v>
      </x:c>
      <x:c r="W112" s="55" t="str">
        <x:v>1日=4h</x:v>
      </x:c>
    </x:row>
    <x:row r="113" ht="21.600000381469727" hidden="0" customHeight="1">
      <x:c r="A113" s="55" t="str">
        <x:v>8-5-04</x:v>
      </x:c>
      <x:c r="B113" s="55" t="str">
        <x:v>Phase 8</x:v>
      </x:c>
      <x:c r="C113" s="55" t="str">
        <x:v>新規実装</x:v>
      </x:c>
      <x:c r="D113" s="55" t="str">
        <x:v>予定</x:v>
      </x:c>
      <x:c r="E113" s="55" t="str">
        <x:v>AI Process</x:v>
      </x:c>
      <x:c r="F113" s="55" t="str">
        <x:v>REORGANIZE開始条件・active件数実装</x:v>
      </x:c>
      <x:c r="G113" s="55" t="str">
        <x:v>CURRENTあり、INITIAL競合、PROCESSING最大1、active最大2を実装</x:v>
      </x:c>
      <x:c r="H113" s="55" t="str">
        <x:v>未着手</x:v>
      </x:c>
      <x:c r="I113" s="55" t="str">
        <x:v>High</x:v>
      </x:c>
      <x:c r="J113" s="55" t="str">
        <x:v>PO + AI支援</x:v>
      </x:c>
      <x:c r="K113" s="62" t="n">
        <x:v>1</x:v>
      </x:c>
      <x:c r="L113" s="57"/>
      <x:c r="M113" s="57"/>
      <x:c r="N113" s="57"/>
      <x:c r="O113" s="57"/>
      <x:c r="P113" s="58" t="n">
        <x:v>0</x:v>
      </x:c>
      <x:c r="Q113" s="55" t="str">
        <x:v>8-5-02</x:v>
      </x:c>
      <x:c r="R113" s="55" t="str">
        <x:v>ソースコード / Developer Test / docs/development/phase8-wave5-ai-process.md</x:v>
      </x:c>
      <x:c r="S113" s="55" t="str">
        <x:v>共通DoDを満たし、Wave実装記録を更新</x:v>
      </x:c>
      <x:c r="T113" s="55"/>
      <x:c r="U113" s="55" t="str">
        <x:v>Wave 5</x:v>
      </x:c>
      <x:c r="V113" s="55" t="str">
        <x:v>Task</x:v>
      </x:c>
      <x:c r="W113" s="55" t="str">
        <x:v>1日=4h</x:v>
      </x:c>
    </x:row>
    <x:row r="114" ht="21.600000381469727" hidden="0" customHeight="1">
      <x:c r="A114" s="55" t="str">
        <x:v>8-5-05</x:v>
      </x:c>
      <x:c r="B114" s="55" t="str">
        <x:v>Phase 8</x:v>
      </x:c>
      <x:c r="C114" s="55" t="str">
        <x:v>新規実装</x:v>
      </x:c>
      <x:c r="D114" s="55" t="str">
        <x:v>予定</x:v>
      </x:c>
      <x:c r="E114" s="55" t="str">
        <x:v>AI Process</x:v>
      </x:c>
      <x:c r="F114" s="55" t="str">
        <x:v>proposed_result・FIFO管理実装</x:v>
      </x:c>
      <x:c r="G114" s="55" t="str">
        <x:v>proposal保存/取得/クリアとFIFO決定を実装</x:v>
      </x:c>
      <x:c r="H114" s="55" t="str">
        <x:v>未着手</x:v>
      </x:c>
      <x:c r="I114" s="55" t="str">
        <x:v>High</x:v>
      </x:c>
      <x:c r="J114" s="55" t="str">
        <x:v>PO + AI支援</x:v>
      </x:c>
      <x:c r="K114" s="62" t="n">
        <x:v>0.75</x:v>
      </x:c>
      <x:c r="L114" s="57"/>
      <x:c r="M114" s="57"/>
      <x:c r="N114" s="57"/>
      <x:c r="O114" s="57"/>
      <x:c r="P114" s="58" t="n">
        <x:v>0</x:v>
      </x:c>
      <x:c r="Q114" s="55" t="str">
        <x:v>8-5-01</x:v>
      </x:c>
      <x:c r="R114" s="55" t="str">
        <x:v>ソースコード / Developer Test / docs/development/phase8-wave5-ai-process.md</x:v>
      </x:c>
      <x:c r="S114" s="55" t="str">
        <x:v>共通DoDを満たし、Wave実装記録を更新</x:v>
      </x:c>
      <x:c r="T114" s="55"/>
      <x:c r="U114" s="55" t="str">
        <x:v>Wave 5</x:v>
      </x:c>
      <x:c r="V114" s="55" t="str">
        <x:v>Task</x:v>
      </x:c>
      <x:c r="W114" s="55" t="str">
        <x:v>1日=4h</x:v>
      </x:c>
    </x:row>
    <x:row r="115" ht="21.600000381469727" hidden="0" customHeight="1">
      <x:c r="A115" s="55" t="str">
        <x:v>8-5-06</x:v>
      </x:c>
      <x:c r="B115" s="55" t="str">
        <x:v>Phase 8</x:v>
      </x:c>
      <x:c r="C115" s="55" t="str">
        <x:v>新規実装</x:v>
      </x:c>
      <x:c r="D115" s="55" t="str">
        <x:v>予定</x:v>
      </x:c>
      <x:c r="E115" s="55" t="str">
        <x:v>AI Process</x:v>
      </x:c>
      <x:c r="F115" s="55" t="str">
        <x:v>残留PROCESSING回復実装</x:v>
      </x:c>
      <x:c r="G115" s="55" t="str">
        <x:v>2分超PROCESSINGをFAILEDへ回復し遅延結果を条件付きUPDATEで無効化</x:v>
      </x:c>
      <x:c r="H115" s="55" t="str">
        <x:v>未着手</x:v>
      </x:c>
      <x:c r="I115" s="55" t="str">
        <x:v>High</x:v>
      </x:c>
      <x:c r="J115" s="55" t="str">
        <x:v>PO + AI支援</x:v>
      </x:c>
      <x:c r="K115" s="62" t="n">
        <x:v>0.75</x:v>
      </x:c>
      <x:c r="L115" s="57"/>
      <x:c r="M115" s="57"/>
      <x:c r="N115" s="57"/>
      <x:c r="O115" s="57"/>
      <x:c r="P115" s="58" t="n">
        <x:v>0</x:v>
      </x:c>
      <x:c r="Q115" s="55" t="str">
        <x:v>8-5-02</x:v>
      </x:c>
      <x:c r="R115" s="55" t="str">
        <x:v>ソースコード / Developer Test / docs/development/phase8-wave5-ai-process.md</x:v>
      </x:c>
      <x:c r="S115" s="55" t="str">
        <x:v>共通DoDを満たし、Wave実装記録を更新</x:v>
      </x:c>
      <x:c r="T115" s="55"/>
      <x:c r="U115" s="55" t="str">
        <x:v>Wave 5</x:v>
      </x:c>
      <x:c r="V115" s="55" t="str">
        <x:v>Task</x:v>
      </x:c>
      <x:c r="W115" s="55" t="str">
        <x:v>1日=4h</x:v>
      </x:c>
    </x:row>
    <x:row r="116" ht="21.600000381469727" hidden="0" customHeight="1">
      <x:c r="A116" s="55" t="str">
        <x:v>8-5-07</x:v>
      </x:c>
      <x:c r="B116" s="55" t="str">
        <x:v>Phase 8</x:v>
      </x:c>
      <x:c r="C116" s="55" t="str">
        <x:v>新規実装</x:v>
      </x:c>
      <x:c r="D116" s="55" t="str">
        <x:v>予定</x:v>
      </x:c>
      <x:c r="E116" s="55" t="str">
        <x:v>Developer Test</x:v>
      </x:c>
      <x:c r="F116" s="55" t="str">
        <x:v>AiProcess状態管理テスト</x:v>
      </x:c>
      <x:c r="G116" s="55" t="str">
        <x:v>開始条件・状態遷移・active/FIFO・回復のDeveloper Testを実装</x:v>
      </x:c>
      <x:c r="H116" s="55" t="str">
        <x:v>未着手</x:v>
      </x:c>
      <x:c r="I116" s="55" t="str">
        <x:v>High</x:v>
      </x:c>
      <x:c r="J116" s="55" t="str">
        <x:v>PO + AI支援</x:v>
      </x:c>
      <x:c r="K116" s="62" t="n">
        <x:v>0.25</x:v>
      </x:c>
      <x:c r="L116" s="57"/>
      <x:c r="M116" s="57"/>
      <x:c r="N116" s="57"/>
      <x:c r="O116" s="57"/>
      <x:c r="P116" s="58" t="n">
        <x:v>0</x:v>
      </x:c>
      <x:c r="Q116" s="55" t="str">
        <x:v>8-5-03,8-5-04,8-5-05,8-5-06</x:v>
      </x:c>
      <x:c r="R116" s="55" t="str">
        <x:v>ソースコード / Developer Test / docs/development/phase8-wave5-ai-process.md</x:v>
      </x:c>
      <x:c r="S116" s="55" t="str">
        <x:v>共通DoDを満たし、Wave実装記録を更新</x:v>
      </x:c>
      <x:c r="T116" s="55"/>
      <x:c r="U116" s="55" t="str">
        <x:v>Wave 5</x:v>
      </x:c>
      <x:c r="V116" s="55" t="str">
        <x:v>Task</x:v>
      </x:c>
      <x:c r="W116" s="55" t="str">
        <x:v>1日=4h</x:v>
      </x:c>
    </x:row>
    <x:row r="117" ht="32.400001525878906" hidden="0" customHeight="1">
      <x:c r="A117" s="55" t="str">
        <x:v>8-6A-01</x:v>
      </x:c>
      <x:c r="B117" s="55" t="str">
        <x:v>Phase 8</x:v>
      </x:c>
      <x:c r="C117" s="55" t="str">
        <x:v>新規実装</x:v>
      </x:c>
      <x:c r="D117" s="55" t="str">
        <x:v>予定</x:v>
      </x:c>
      <x:c r="E117" s="55" t="str">
        <x:v>AI通信</x:v>
      </x:c>
      <x:c r="F117" s="55" t="str">
        <x:v>AI内部DTO実装</x:v>
      </x:c>
      <x:c r="G117" s="55" t="str">
        <x:v>Wave 0-Bで確定したRequest / Response DTOを実装</x:v>
      </x:c>
      <x:c r="H117" s="55" t="str">
        <x:v>未着手</x:v>
      </x:c>
      <x:c r="I117" s="55" t="str">
        <x:v>High</x:v>
      </x:c>
      <x:c r="J117" s="55" t="str">
        <x:v>PO + AI支援</x:v>
      </x:c>
      <x:c r="K117" s="62" t="n">
        <x:v>0.25</x:v>
      </x:c>
      <x:c r="L117" s="57"/>
      <x:c r="M117" s="57"/>
      <x:c r="N117" s="57"/>
      <x:c r="O117" s="57"/>
      <x:c r="P117" s="58" t="n">
        <x:v>0</x:v>
      </x:c>
      <x:c r="Q117" s="55" t="str">
        <x:v>8-M0B</x:v>
      </x:c>
      <x:c r="R117" s="55" t="str">
        <x:v>ソースコード / Developer Test / docs/development/phase8-wave6a-ai-service-client.md</x:v>
      </x:c>
      <x:c r="S117" s="55" t="str">
        <x:v>共通DoDを満たし、Wave実装記録を更新</x:v>
      </x:c>
      <x:c r="T117" s="55"/>
      <x:c r="U117" s="55" t="str">
        <x:v>Wave 6-a</x:v>
      </x:c>
      <x:c r="V117" s="55" t="str">
        <x:v>Task</x:v>
      </x:c>
      <x:c r="W117" s="55" t="str">
        <x:v>1日=4h</x:v>
      </x:c>
    </x:row>
    <x:row r="118" ht="32.400001525878906" hidden="0" customHeight="1">
      <x:c r="A118" s="55" t="str">
        <x:v>8-6A-02</x:v>
      </x:c>
      <x:c r="B118" s="55" t="str">
        <x:v>Phase 8</x:v>
      </x:c>
      <x:c r="C118" s="55" t="str">
        <x:v>新規実装</x:v>
      </x:c>
      <x:c r="D118" s="55" t="str">
        <x:v>予定</x:v>
      </x:c>
      <x:c r="E118" s="55" t="str">
        <x:v>AI Service</x:v>
      </x:c>
      <x:c r="F118" s="55" t="str">
        <x:v>AI ServiceスタブAPI実装</x:v>
      </x:c>
      <x:c r="G118" s="55" t="str">
        <x:v>固定レスポンスでINITIAL/REORGANIZE内部APIを起動できる状態を作る</x:v>
      </x:c>
      <x:c r="H118" s="55" t="str">
        <x:v>未着手</x:v>
      </x:c>
      <x:c r="I118" s="55" t="str">
        <x:v>High</x:v>
      </x:c>
      <x:c r="J118" s="55" t="str">
        <x:v>PO + AI支援</x:v>
      </x:c>
      <x:c r="K118" s="62" t="n">
        <x:v>0.5</x:v>
      </x:c>
      <x:c r="L118" s="57"/>
      <x:c r="M118" s="57"/>
      <x:c r="N118" s="57"/>
      <x:c r="O118" s="57"/>
      <x:c r="P118" s="58" t="n">
        <x:v>0</x:v>
      </x:c>
      <x:c r="Q118" s="55" t="str">
        <x:v>8-6A-01</x:v>
      </x:c>
      <x:c r="R118" s="55" t="str">
        <x:v>ソースコード / Developer Test / docs/development/phase8-wave6a-ai-service-client.md</x:v>
      </x:c>
      <x:c r="S118" s="55" t="str">
        <x:v>共通DoDを満たし、Wave実装記録を更新</x:v>
      </x:c>
      <x:c r="T118" s="55"/>
      <x:c r="U118" s="55" t="str">
        <x:v>Wave 6-a</x:v>
      </x:c>
      <x:c r="V118" s="55" t="str">
        <x:v>Task</x:v>
      </x:c>
      <x:c r="W118" s="55" t="str">
        <x:v>1日=4h</x:v>
      </x:c>
    </x:row>
    <x:row r="119" ht="32.400001525878906" hidden="0" customHeight="1">
      <x:c r="A119" s="55" t="str">
        <x:v>8-6A-03</x:v>
      </x:c>
      <x:c r="B119" s="55" t="str">
        <x:v>Phase 8</x:v>
      </x:c>
      <x:c r="C119" s="55" t="str">
        <x:v>新規実装</x:v>
      </x:c>
      <x:c r="D119" s="55" t="str">
        <x:v>予定</x:v>
      </x:c>
      <x:c r="E119" s="55" t="str">
        <x:v>AI通信</x:v>
      </x:c>
      <x:c r="F119" s="55" t="str">
        <x:v>AiServiceClient共通通信実装</x:v>
      </x:c>
      <x:c r="G119" s="55" t="str">
        <x:v>HTTP通信共通処理を実装</x:v>
      </x:c>
      <x:c r="H119" s="55" t="str">
        <x:v>未着手</x:v>
      </x:c>
      <x:c r="I119" s="55" t="str">
        <x:v>High</x:v>
      </x:c>
      <x:c r="J119" s="55" t="str">
        <x:v>PO + AI支援</x:v>
      </x:c>
      <x:c r="K119" s="62" t="n">
        <x:v>0.5</x:v>
      </x:c>
      <x:c r="L119" s="57"/>
      <x:c r="M119" s="57"/>
      <x:c r="N119" s="57"/>
      <x:c r="O119" s="57"/>
      <x:c r="P119" s="58" t="n">
        <x:v>0</x:v>
      </x:c>
      <x:c r="Q119" s="55" t="str">
        <x:v>8-6A-01</x:v>
      </x:c>
      <x:c r="R119" s="55" t="str">
        <x:v>ソースコード / Developer Test / docs/development/phase8-wave6a-ai-service-client.md</x:v>
      </x:c>
      <x:c r="S119" s="55" t="str">
        <x:v>共通DoDを満たし、Wave実装記録を更新</x:v>
      </x:c>
      <x:c r="T119" s="55"/>
      <x:c r="U119" s="55" t="str">
        <x:v>Wave 6-a</x:v>
      </x:c>
      <x:c r="V119" s="55" t="str">
        <x:v>Task</x:v>
      </x:c>
      <x:c r="W119" s="55" t="str">
        <x:v>1日=4h</x:v>
      </x:c>
    </x:row>
    <x:row r="120" ht="32.400001525878906" hidden="0" customHeight="1">
      <x:c r="A120" s="55" t="str">
        <x:v>8-6A-04</x:v>
      </x:c>
      <x:c r="B120" s="55" t="str">
        <x:v>Phase 8</x:v>
      </x:c>
      <x:c r="C120" s="55" t="str">
        <x:v>新規実装</x:v>
      </x:c>
      <x:c r="D120" s="55" t="str">
        <x:v>予定</x:v>
      </x:c>
      <x:c r="E120" s="55" t="str">
        <x:v>AI通信</x:v>
      </x:c>
      <x:c r="F120" s="55" t="str">
        <x:v>INITIAL / REORGANIZE通信実装</x:v>
      </x:c>
      <x:c r="G120" s="55" t="str">
        <x:v>各内部APIへの呼び出しを実装</x:v>
      </x:c>
      <x:c r="H120" s="55" t="str">
        <x:v>未着手</x:v>
      </x:c>
      <x:c r="I120" s="55" t="str">
        <x:v>High</x:v>
      </x:c>
      <x:c r="J120" s="55" t="str">
        <x:v>PO + AI支援</x:v>
      </x:c>
      <x:c r="K120" s="62" t="n">
        <x:v>0.5</x:v>
      </x:c>
      <x:c r="L120" s="57"/>
      <x:c r="M120" s="57"/>
      <x:c r="N120" s="57"/>
      <x:c r="O120" s="57"/>
      <x:c r="P120" s="58" t="n">
        <x:v>0</x:v>
      </x:c>
      <x:c r="Q120" s="55" t="str">
        <x:v>8-6A-02,8-6A-03</x:v>
      </x:c>
      <x:c r="R120" s="55" t="str">
        <x:v>ソースコード / Developer Test / docs/development/phase8-wave6a-ai-service-client.md</x:v>
      </x:c>
      <x:c r="S120" s="55" t="str">
        <x:v>共通DoDを満たし、Wave実装記録を更新</x:v>
      </x:c>
      <x:c r="T120" s="55"/>
      <x:c r="U120" s="55" t="str">
        <x:v>Wave 6-a</x:v>
      </x:c>
      <x:c r="V120" s="55" t="str">
        <x:v>Task</x:v>
      </x:c>
      <x:c r="W120" s="55" t="str">
        <x:v>1日=4h</x:v>
      </x:c>
    </x:row>
    <x:row r="121" ht="32.400001525878906" hidden="0" customHeight="1">
      <x:c r="A121" s="55" t="str">
        <x:v>8-6A-05</x:v>
      </x:c>
      <x:c r="B121" s="55" t="str">
        <x:v>Phase 8</x:v>
      </x:c>
      <x:c r="C121" s="55" t="str">
        <x:v>新規実装</x:v>
      </x:c>
      <x:c r="D121" s="55" t="str">
        <x:v>予定</x:v>
      </x:c>
      <x:c r="E121" s="55" t="str">
        <x:v>AI通信</x:v>
      </x:c>
      <x:c r="F121" s="55" t="str">
        <x:v>内部APIキー・timeout実装</x:v>
      </x:c>
      <x:c r="G121" s="55" t="str">
        <x:v>内部APIキー、connect 5秒、response 60秒を実装</x:v>
      </x:c>
      <x:c r="H121" s="55" t="str">
        <x:v>未着手</x:v>
      </x:c>
      <x:c r="I121" s="55" t="str">
        <x:v>High</x:v>
      </x:c>
      <x:c r="J121" s="55" t="str">
        <x:v>PO + AI支援</x:v>
      </x:c>
      <x:c r="K121" s="62" t="n">
        <x:v>0.5</x:v>
      </x:c>
      <x:c r="L121" s="57"/>
      <x:c r="M121" s="57"/>
      <x:c r="N121" s="57"/>
      <x:c r="O121" s="57"/>
      <x:c r="P121" s="58" t="n">
        <x:v>0</x:v>
      </x:c>
      <x:c r="Q121" s="55" t="str">
        <x:v>8-6A-03</x:v>
      </x:c>
      <x:c r="R121" s="55" t="str">
        <x:v>ソースコード / Developer Test / docs/development/phase8-wave6a-ai-service-client.md</x:v>
      </x:c>
      <x:c r="S121" s="55" t="str">
        <x:v>共通DoDを満たし、Wave実装記録を更新</x:v>
      </x:c>
      <x:c r="T121" s="55"/>
      <x:c r="U121" s="55" t="str">
        <x:v>Wave 6-a</x:v>
      </x:c>
      <x:c r="V121" s="55" t="str">
        <x:v>Task</x:v>
      </x:c>
      <x:c r="W121" s="55" t="str">
        <x:v>1日=4h</x:v>
      </x:c>
    </x:row>
    <x:row r="122" ht="32.400001525878906" hidden="0" customHeight="1">
      <x:c r="A122" s="55" t="str">
        <x:v>8-6A-06</x:v>
      </x:c>
      <x:c r="B122" s="55" t="str">
        <x:v>Phase 8</x:v>
      </x:c>
      <x:c r="C122" s="55" t="str">
        <x:v>新規実装</x:v>
      </x:c>
      <x:c r="D122" s="55" t="str">
        <x:v>予定</x:v>
      </x:c>
      <x:c r="E122" s="55" t="str">
        <x:v>AI通信</x:v>
      </x:c>
      <x:c r="F122" s="55" t="str">
        <x:v>AiServiceException階層・変換実装</x:v>
      </x:c>
      <x:c r="G122" s="55" t="str">
        <x:v>Connection/Timeout/Client/Server/Response例外を実装</x:v>
      </x:c>
      <x:c r="H122" s="55" t="str">
        <x:v>未着手</x:v>
      </x:c>
      <x:c r="I122" s="55" t="str">
        <x:v>High</x:v>
      </x:c>
      <x:c r="J122" s="55" t="str">
        <x:v>PO + AI支援</x:v>
      </x:c>
      <x:c r="K122" s="62" t="n">
        <x:v>0.5</x:v>
      </x:c>
      <x:c r="L122" s="57"/>
      <x:c r="M122" s="57"/>
      <x:c r="N122" s="57"/>
      <x:c r="O122" s="57"/>
      <x:c r="P122" s="58" t="n">
        <x:v>0</x:v>
      </x:c>
      <x:c r="Q122" s="55" t="str">
        <x:v>8-6A-03</x:v>
      </x:c>
      <x:c r="R122" s="55" t="str">
        <x:v>ソースコード / Developer Test / docs/development/phase8-wave6a-ai-service-client.md</x:v>
      </x:c>
      <x:c r="S122" s="55" t="str">
        <x:v>共通DoDを満たし、Wave実装記録を更新</x:v>
      </x:c>
      <x:c r="T122" s="55"/>
      <x:c r="U122" s="55" t="str">
        <x:v>Wave 6-a</x:v>
      </x:c>
      <x:c r="V122" s="55" t="str">
        <x:v>Task</x:v>
      </x:c>
      <x:c r="W122" s="55" t="str">
        <x:v>1日=4h</x:v>
      </x:c>
    </x:row>
    <x:row r="123" ht="32.400001525878906" hidden="0" customHeight="1">
      <x:c r="A123" s="55" t="str">
        <x:v>8-6A-07</x:v>
      </x:c>
      <x:c r="B123" s="55" t="str">
        <x:v>Phase 8</x:v>
      </x:c>
      <x:c r="C123" s="55" t="str">
        <x:v>新規実装</x:v>
      </x:c>
      <x:c r="D123" s="55" t="str">
        <x:v>予定</x:v>
      </x:c>
      <x:c r="E123" s="55" t="str">
        <x:v>疎通</x:v>
      </x:c>
      <x:c r="F123" s="55" t="str">
        <x:v>Spring Boot ⇔ AI Serviceスタブ疎通確認</x:v>
      </x:c>
      <x:c r="G123" s="55" t="str">
        <x:v>DB反映なしで往復通信と例外変換を確認</x:v>
      </x:c>
      <x:c r="H123" s="55" t="str">
        <x:v>未着手</x:v>
      </x:c>
      <x:c r="I123" s="55" t="str">
        <x:v>High</x:v>
      </x:c>
      <x:c r="J123" s="55" t="str">
        <x:v>PO + AI支援</x:v>
      </x:c>
      <x:c r="K123" s="62" t="n">
        <x:v>0.25</x:v>
      </x:c>
      <x:c r="L123" s="57"/>
      <x:c r="M123" s="57"/>
      <x:c r="N123" s="57"/>
      <x:c r="O123" s="57"/>
      <x:c r="P123" s="58" t="n">
        <x:v>0</x:v>
      </x:c>
      <x:c r="Q123" s="55" t="str">
        <x:v>8-6A-04,8-6A-05,8-6A-06</x:v>
      </x:c>
      <x:c r="R123" s="55" t="str">
        <x:v>ソースコード / Developer Test / docs/development/phase8-wave6a-ai-service-client.md</x:v>
      </x:c>
      <x:c r="S123" s="55" t="str">
        <x:v>共通DoDを満たし、Wave実装記録を更新</x:v>
      </x:c>
      <x:c r="T123" s="55"/>
      <x:c r="U123" s="55" t="str">
        <x:v>Wave 6-a</x:v>
      </x:c>
      <x:c r="V123" s="55" t="str">
        <x:v>Task</x:v>
      </x:c>
      <x:c r="W123" s="55" t="str">
        <x:v>1日=4h</x:v>
      </x:c>
    </x:row>
    <x:row r="124" ht="15" hidden="0" customHeight="1">
      <x:c r="A124" s="55" t="str">
        <x:v>8-M5</x:v>
      </x:c>
      <x:c r="B124" s="55" t="str">
        <x:v>Phase 8</x:v>
      </x:c>
      <x:c r="C124" s="55" t="str">
        <x:v>新規実装</x:v>
      </x:c>
      <x:c r="D124" s="55" t="str">
        <x:v>予定</x:v>
      </x:c>
      <x:c r="E124" s="55" t="str">
        <x:v>Milestone</x:v>
      </x:c>
      <x:c r="F124" s="55" t="str">
        <x:v>AI Service通信M5</x:v>
      </x:c>
      <x:c r="G124" s="55" t="str">
        <x:v>Spring Boot ⇔ AI Serviceスタブの往復通信成功</x:v>
      </x:c>
      <x:c r="H124" s="55" t="str">
        <x:v>未着手</x:v>
      </x:c>
      <x:c r="I124" s="55" t="str">
        <x:v>High</x:v>
      </x:c>
      <x:c r="J124" s="55" t="str">
        <x:v>PO + AI支援</x:v>
      </x:c>
      <x:c r="K124" s="62" t="n">
        <x:v>0</x:v>
      </x:c>
      <x:c r="L124" s="57"/>
      <x:c r="M124" s="57"/>
      <x:c r="N124" s="57"/>
      <x:c r="O124" s="57"/>
      <x:c r="P124" s="58" t="n">
        <x:v>0</x:v>
      </x:c>
      <x:c r="Q124" s="55" t="str">
        <x:v>8-6A-07</x:v>
      </x:c>
      <x:c r="R124" s="55" t="str">
        <x:v>phase8-wave6a-ai-service-client.md</x:v>
      </x:c>
      <x:c r="S124" s="55" t="str">
        <x:v>M5達成</x:v>
      </x:c>
      <x:c r="T124" s="55"/>
      <x:c r="U124" s="55" t="str">
        <x:v>Wave 6-a</x:v>
      </x:c>
      <x:c r="V124" s="55" t="str">
        <x:v>Milestone</x:v>
      </x:c>
      <x:c r="W124" s="55" t="str">
        <x:v>—</x:v>
      </x:c>
    </x:row>
    <x:row r="125" ht="21.600000381469727" hidden="0" customHeight="1">
      <x:c r="A125" s="55" t="str">
        <x:v>8-6B-01</x:v>
      </x:c>
      <x:c r="B125" s="55" t="str">
        <x:v>Phase 8</x:v>
      </x:c>
      <x:c r="C125" s="55" t="str">
        <x:v>新規実装</x:v>
      </x:c>
      <x:c r="D125" s="55" t="str">
        <x:v>予定</x:v>
      </x:c>
      <x:c r="E125" s="55" t="str">
        <x:v>LLM</x:v>
      </x:c>
      <x:c r="F125" s="55" t="str">
        <x:v>LLM Provider API連携</x:v>
      </x:c>
      <x:c r="G125" s="55" t="str">
        <x:v>外部LLM APIへの接続・認証・基本呼び出しを実装</x:v>
      </x:c>
      <x:c r="H125" s="55" t="str">
        <x:v>未着手</x:v>
      </x:c>
      <x:c r="I125" s="55" t="str">
        <x:v>High</x:v>
      </x:c>
      <x:c r="J125" s="55" t="str">
        <x:v>PO + AI支援</x:v>
      </x:c>
      <x:c r="K125" s="62" t="n">
        <x:v>0.75</x:v>
      </x:c>
      <x:c r="L125" s="57"/>
      <x:c r="M125" s="57"/>
      <x:c r="N125" s="57"/>
      <x:c r="O125" s="57"/>
      <x:c r="P125" s="58" t="n">
        <x:v>0</x:v>
      </x:c>
      <x:c r="Q125" s="55" t="str">
        <x:v>8-M5</x:v>
      </x:c>
      <x:c r="R125" s="55" t="str">
        <x:v>ソースコード / Developer Test / docs/development/phase8-wave6b-llm.md</x:v>
      </x:c>
      <x:c r="S125" s="55" t="str">
        <x:v>共通DoDを満たし、Wave実装記録を更新</x:v>
      </x:c>
      <x:c r="T125" s="55"/>
      <x:c r="U125" s="55" t="str">
        <x:v>Wave 6-b</x:v>
      </x:c>
      <x:c r="V125" s="55" t="str">
        <x:v>Task</x:v>
      </x:c>
      <x:c r="W125" s="55" t="str">
        <x:v>1日=4h</x:v>
      </x:c>
    </x:row>
    <x:row r="126" ht="21.600000381469727" hidden="0" customHeight="1">
      <x:c r="A126" s="55" t="str">
        <x:v>8-6B-02</x:v>
      </x:c>
      <x:c r="B126" s="55" t="str">
        <x:v>Phase 8</x:v>
      </x:c>
      <x:c r="C126" s="55" t="str">
        <x:v>新規実装</x:v>
      </x:c>
      <x:c r="D126" s="55" t="str">
        <x:v>予定</x:v>
      </x:c>
      <x:c r="E126" s="55" t="str">
        <x:v>Prompt</x:v>
      </x:c>
      <x:c r="F126" s="55" t="str">
        <x:v>INITIALプロンプト実装</x:v>
      </x:c>
      <x:c r="G126" s="55" t="str">
        <x:v>初回整理の階層JSON生成プロンプトを実装・調整</x:v>
      </x:c>
      <x:c r="H126" s="55" t="str">
        <x:v>未着手</x:v>
      </x:c>
      <x:c r="I126" s="55" t="str">
        <x:v>High</x:v>
      </x:c>
      <x:c r="J126" s="55" t="str">
        <x:v>PO + AI支援</x:v>
      </x:c>
      <x:c r="K126" s="62" t="n">
        <x:v>0.75</x:v>
      </x:c>
      <x:c r="L126" s="57"/>
      <x:c r="M126" s="57"/>
      <x:c r="N126" s="57"/>
      <x:c r="O126" s="57"/>
      <x:c r="P126" s="58" t="n">
        <x:v>0</x:v>
      </x:c>
      <x:c r="Q126" s="55" t="str">
        <x:v>8-6B-01</x:v>
      </x:c>
      <x:c r="R126" s="55" t="str">
        <x:v>ソースコード / Developer Test / docs/development/phase8-wave6b-llm.md</x:v>
      </x:c>
      <x:c r="S126" s="55" t="str">
        <x:v>共通DoDを満たし、Wave実装記録を更新</x:v>
      </x:c>
      <x:c r="T126" s="55"/>
      <x:c r="U126" s="55" t="str">
        <x:v>Wave 6-b</x:v>
      </x:c>
      <x:c r="V126" s="55" t="str">
        <x:v>Task</x:v>
      </x:c>
      <x:c r="W126" s="55" t="str">
        <x:v>1日=4h</x:v>
      </x:c>
    </x:row>
    <x:row r="127" ht="21.600000381469727" hidden="0" customHeight="1">
      <x:c r="A127" s="55" t="str">
        <x:v>8-6B-03</x:v>
      </x:c>
      <x:c r="B127" s="55" t="str">
        <x:v>Phase 8</x:v>
      </x:c>
      <x:c r="C127" s="55" t="str">
        <x:v>新規実装</x:v>
      </x:c>
      <x:c r="D127" s="55" t="str">
        <x:v>予定</x:v>
      </x:c>
      <x:c r="E127" s="55" t="str">
        <x:v>Prompt</x:v>
      </x:c>
      <x:c r="F127" s="55" t="str">
        <x:v>REORGANIZEプロンプト実装</x:v>
      </x:c>
      <x:c r="G127" s="55" t="str">
        <x:v>再整理の提案生成プロンプトを実装・調整</x:v>
      </x:c>
      <x:c r="H127" s="55" t="str">
        <x:v>未着手</x:v>
      </x:c>
      <x:c r="I127" s="55" t="str">
        <x:v>High</x:v>
      </x:c>
      <x:c r="J127" s="55" t="str">
        <x:v>PO + AI支援</x:v>
      </x:c>
      <x:c r="K127" s="62" t="n">
        <x:v>0.75</x:v>
      </x:c>
      <x:c r="L127" s="57"/>
      <x:c r="M127" s="57"/>
      <x:c r="N127" s="57"/>
      <x:c r="O127" s="57"/>
      <x:c r="P127" s="58" t="n">
        <x:v>0</x:v>
      </x:c>
      <x:c r="Q127" s="55" t="str">
        <x:v>8-6B-01</x:v>
      </x:c>
      <x:c r="R127" s="55" t="str">
        <x:v>ソースコード / Developer Test / docs/development/phase8-wave6b-llm.md</x:v>
      </x:c>
      <x:c r="S127" s="55" t="str">
        <x:v>共通DoDを満たし、Wave実装記録を更新</x:v>
      </x:c>
      <x:c r="T127" s="55"/>
      <x:c r="U127" s="55" t="str">
        <x:v>Wave 6-b</x:v>
      </x:c>
      <x:c r="V127" s="55" t="str">
        <x:v>Task</x:v>
      </x:c>
      <x:c r="W127" s="55" t="str">
        <x:v>1日=4h</x:v>
      </x:c>
    </x:row>
    <x:row r="128" ht="21.600000381469727" hidden="0" customHeight="1">
      <x:c r="A128" s="55" t="str">
        <x:v>8-6B-04</x:v>
      </x:c>
      <x:c r="B128" s="55" t="str">
        <x:v>Phase 8</x:v>
      </x:c>
      <x:c r="C128" s="55" t="str">
        <x:v>新規実装</x:v>
      </x:c>
      <x:c r="D128" s="55" t="str">
        <x:v>予定</x:v>
      </x:c>
      <x:c r="E128" s="55" t="str">
        <x:v>LLM</x:v>
      </x:c>
      <x:c r="F128" s="55" t="str">
        <x:v>構造化出力・Response検証</x:v>
      </x:c>
      <x:c r="G128" s="55" t="str">
        <x:v>JSON Schema等で構造化出力を受け、形式不正をAI Service側で検出</x:v>
      </x:c>
      <x:c r="H128" s="55" t="str">
        <x:v>未着手</x:v>
      </x:c>
      <x:c r="I128" s="55" t="str">
        <x:v>High</x:v>
      </x:c>
      <x:c r="J128" s="55" t="str">
        <x:v>PO + AI支援</x:v>
      </x:c>
      <x:c r="K128" s="62" t="n">
        <x:v>0.75</x:v>
      </x:c>
      <x:c r="L128" s="57"/>
      <x:c r="M128" s="57"/>
      <x:c r="N128" s="57"/>
      <x:c r="O128" s="57"/>
      <x:c r="P128" s="58" t="n">
        <x:v>0</x:v>
      </x:c>
      <x:c r="Q128" s="55" t="str">
        <x:v>8-6B-02,8-6B-03</x:v>
      </x:c>
      <x:c r="R128" s="55" t="str">
        <x:v>ソースコード / Developer Test / docs/development/phase8-wave6b-llm.md</x:v>
      </x:c>
      <x:c r="S128" s="55" t="str">
        <x:v>共通DoDを満たし、Wave実装記録を更新</x:v>
      </x:c>
      <x:c r="T128" s="55"/>
      <x:c r="U128" s="55" t="str">
        <x:v>Wave 6-b</x:v>
      </x:c>
      <x:c r="V128" s="55" t="str">
        <x:v>Task</x:v>
      </x:c>
      <x:c r="W128" s="55" t="str">
        <x:v>1日=4h</x:v>
      </x:c>
    </x:row>
    <x:row r="129" ht="21.600000381469727" hidden="0" customHeight="1">
      <x:c r="A129" s="55" t="str">
        <x:v>8-6B-05</x:v>
      </x:c>
      <x:c r="B129" s="55" t="str">
        <x:v>Phase 8</x:v>
      </x:c>
      <x:c r="C129" s="55" t="str">
        <x:v>新規実装</x:v>
      </x:c>
      <x:c r="D129" s="55" t="str">
        <x:v>予定</x:v>
      </x:c>
      <x:c r="E129" s="55" t="str">
        <x:v>Security</x:v>
      </x:c>
      <x:c r="F129" s="55" t="str">
        <x:v>LLM鍵・ログ・入力出力保護</x:v>
      </x:c>
      <x:c r="G129" s="55" t="str">
        <x:v>APIキーをSecrets/環境変数化し、memo本文・AIレスポンス全文をログへ出さない</x:v>
      </x:c>
      <x:c r="H129" s="55" t="str">
        <x:v>未着手</x:v>
      </x:c>
      <x:c r="I129" s="55" t="str">
        <x:v>High</x:v>
      </x:c>
      <x:c r="J129" s="55" t="str">
        <x:v>PO + AI支援</x:v>
      </x:c>
      <x:c r="K129" s="62" t="n">
        <x:v>0.5</x:v>
      </x:c>
      <x:c r="L129" s="57"/>
      <x:c r="M129" s="57"/>
      <x:c r="N129" s="57"/>
      <x:c r="O129" s="57"/>
      <x:c r="P129" s="58" t="n">
        <x:v>0</x:v>
      </x:c>
      <x:c r="Q129" s="55" t="str">
        <x:v>8-6B-01</x:v>
      </x:c>
      <x:c r="R129" s="55" t="str">
        <x:v>ソースコード / Developer Test / docs/development/phase8-wave6b-llm.md</x:v>
      </x:c>
      <x:c r="S129" s="55" t="str">
        <x:v>共通DoDを満たし、Wave実装記録を更新</x:v>
      </x:c>
      <x:c r="T129" s="55"/>
      <x:c r="U129" s="55" t="str">
        <x:v>Wave 6-b</x:v>
      </x:c>
      <x:c r="V129" s="55" t="str">
        <x:v>Task</x:v>
      </x:c>
      <x:c r="W129" s="55" t="str">
        <x:v>1日=4h</x:v>
      </x:c>
    </x:row>
    <x:row r="130" ht="21.600000381469727" hidden="0" customHeight="1">
      <x:c r="A130" s="55" t="str">
        <x:v>8-6B-06</x:v>
      </x:c>
      <x:c r="B130" s="55" t="str">
        <x:v>Phase 8</x:v>
      </x:c>
      <x:c r="C130" s="55" t="str">
        <x:v>新規実装</x:v>
      </x:c>
      <x:c r="D130" s="55" t="str">
        <x:v>予定</x:v>
      </x:c>
      <x:c r="E130" s="55" t="str">
        <x:v>検証</x:v>
      </x:c>
      <x:c r="F130" s="55" t="str">
        <x:v>AI整理品質の最小確認</x:v>
      </x:c>
      <x:c r="G130" s="55" t="str">
        <x:v>代表入力で階層JSONがMVPとして利用可能か確認し課題を記録</x:v>
      </x:c>
      <x:c r="H130" s="55" t="str">
        <x:v>未着手</x:v>
      </x:c>
      <x:c r="I130" s="55" t="str">
        <x:v>High</x:v>
      </x:c>
      <x:c r="J130" s="55" t="str">
        <x:v>PO + AI支援</x:v>
      </x:c>
      <x:c r="K130" s="62" t="n">
        <x:v>1</x:v>
      </x:c>
      <x:c r="L130" s="57"/>
      <x:c r="M130" s="57"/>
      <x:c r="N130" s="57"/>
      <x:c r="O130" s="57"/>
      <x:c r="P130" s="58" t="n">
        <x:v>0</x:v>
      </x:c>
      <x:c r="Q130" s="55" t="str">
        <x:v>8-6B-04,8-6B-05</x:v>
      </x:c>
      <x:c r="R130" s="55" t="str">
        <x:v>ソースコード / Developer Test / docs/development/phase8-wave6b-llm.md</x:v>
      </x:c>
      <x:c r="S130" s="55" t="str">
        <x:v>共通DoDを満たし、Wave実装記録を更新</x:v>
      </x:c>
      <x:c r="T130" s="55"/>
      <x:c r="U130" s="55" t="str">
        <x:v>Wave 6-b</x:v>
      </x:c>
      <x:c r="V130" s="55" t="str">
        <x:v>Task</x:v>
      </x:c>
      <x:c r="W130" s="55" t="str">
        <x:v>1日=4h</x:v>
      </x:c>
    </x:row>
    <x:row r="131" ht="21.600000381469727" hidden="0" customHeight="1">
      <x:c r="A131" s="55" t="str">
        <x:v>8-7-01</x:v>
      </x:c>
      <x:c r="B131" s="55" t="str">
        <x:v>Phase 8</x:v>
      </x:c>
      <x:c r="C131" s="55" t="str">
        <x:v>新規実装</x:v>
      </x:c>
      <x:c r="D131" s="55" t="str">
        <x:v>予定</x:v>
      </x:c>
      <x:c r="E131" s="55" t="str">
        <x:v>AI Result</x:v>
      </x:c>
      <x:c r="F131" s="55" t="str">
        <x:v>INITIAL結果解析・上限検証</x:v>
      </x:c>
      <x:c r="G131" s="55" t="str">
        <x:v>organization名称/数/階層等を検証してAI結果を内部表現へ変換</x:v>
      </x:c>
      <x:c r="H131" s="55" t="str">
        <x:v>未着手</x:v>
      </x:c>
      <x:c r="I131" s="55" t="str">
        <x:v>High</x:v>
      </x:c>
      <x:c r="J131" s="55" t="str">
        <x:v>PO + AI支援</x:v>
      </x:c>
      <x:c r="K131" s="62" t="n">
        <x:v>0.75</x:v>
      </x:c>
      <x:c r="L131" s="57"/>
      <x:c r="M131" s="57"/>
      <x:c r="N131" s="57"/>
      <x:c r="O131" s="57"/>
      <x:c r="P131" s="58" t="n">
        <x:v>0</x:v>
      </x:c>
      <x:c r="Q131" s="55" t="str">
        <x:v>8-5-07,8-6A-01</x:v>
      </x:c>
      <x:c r="R131" s="55" t="str">
        <x:v>ソースコード / Developer Test / docs/development/phase8-wave7-ai-result-initial.md</x:v>
      </x:c>
      <x:c r="S131" s="55" t="str">
        <x:v>共通DoDを満たし、Wave実装記録を更新</x:v>
      </x:c>
      <x:c r="T131" s="55"/>
      <x:c r="U131" s="55" t="str">
        <x:v>Wave 7</x:v>
      </x:c>
      <x:c r="V131" s="55" t="str">
        <x:v>Task</x:v>
      </x:c>
      <x:c r="W131" s="55" t="str">
        <x:v>1日=4h</x:v>
      </x:c>
    </x:row>
    <x:row r="132" ht="21.600000381469727" hidden="0" customHeight="1">
      <x:c r="A132" s="55" t="str">
        <x:v>8-7-02</x:v>
      </x:c>
      <x:c r="B132" s="55" t="str">
        <x:v>Phase 8</x:v>
      </x:c>
      <x:c r="C132" s="55" t="str">
        <x:v>新規実装</x:v>
      </x:c>
      <x:c r="D132" s="55" t="str">
        <x:v>予定</x:v>
      </x:c>
      <x:c r="E132" s="55" t="str">
        <x:v>AI Result</x:v>
      </x:c>
      <x:c r="F132" s="55" t="str">
        <x:v>既存organization ID解決</x:v>
      </x:c>
      <x:c r="G132" s="55" t="str">
        <x:v>同一user/parent/normalized_nameで既存organizationを解決</x:v>
      </x:c>
      <x:c r="H132" s="55" t="str">
        <x:v>未着手</x:v>
      </x:c>
      <x:c r="I132" s="55" t="str">
        <x:v>High</x:v>
      </x:c>
      <x:c r="J132" s="55" t="str">
        <x:v>PO + AI支援</x:v>
      </x:c>
      <x:c r="K132" s="62" t="n">
        <x:v>0.75</x:v>
      </x:c>
      <x:c r="L132" s="57"/>
      <x:c r="M132" s="57"/>
      <x:c r="N132" s="57"/>
      <x:c r="O132" s="57"/>
      <x:c r="P132" s="58" t="n">
        <x:v>0</x:v>
      </x:c>
      <x:c r="Q132" s="55" t="str">
        <x:v>8-7-01,8-M3</x:v>
      </x:c>
      <x:c r="R132" s="55" t="str">
        <x:v>ソースコード / Developer Test / docs/development/phase8-wave7-ai-result-initial.md</x:v>
      </x:c>
      <x:c r="S132" s="55" t="str">
        <x:v>共通DoDを満たし、Wave実装記録を更新</x:v>
      </x:c>
      <x:c r="T132" s="55"/>
      <x:c r="U132" s="55" t="str">
        <x:v>Wave 7</x:v>
      </x:c>
      <x:c r="V132" s="55" t="str">
        <x:v>Task</x:v>
      </x:c>
      <x:c r="W132" s="55" t="str">
        <x:v>1日=4h</x:v>
      </x:c>
    </x:row>
    <x:row r="133" ht="21.600000381469727" hidden="0" customHeight="1">
      <x:c r="A133" s="55" t="str">
        <x:v>8-7-03</x:v>
      </x:c>
      <x:c r="B133" s="55" t="str">
        <x:v>Phase 8</x:v>
      </x:c>
      <x:c r="C133" s="55" t="str">
        <x:v>新規実装</x:v>
      </x:c>
      <x:c r="D133" s="55" t="str">
        <x:v>予定</x:v>
      </x:c>
      <x:c r="E133" s="55" t="str">
        <x:v>AI Result</x:v>
      </x:c>
      <x:c r="F133" s="55" t="str">
        <x:v>INITIAL organization作成・再利用</x:v>
      </x:c>
      <x:c r="G133" s="55" t="str">
        <x:v>Wave 4の共通作成/置換処理を利用して必要なorganizationを作成</x:v>
      </x:c>
      <x:c r="H133" s="55" t="str">
        <x:v>未着手</x:v>
      </x:c>
      <x:c r="I133" s="55" t="str">
        <x:v>High</x:v>
      </x:c>
      <x:c r="J133" s="55" t="str">
        <x:v>PO + AI支援</x:v>
      </x:c>
      <x:c r="K133" s="62" t="n">
        <x:v>0.5</x:v>
      </x:c>
      <x:c r="L133" s="57"/>
      <x:c r="M133" s="57"/>
      <x:c r="N133" s="57"/>
      <x:c r="O133" s="57"/>
      <x:c r="P133" s="58" t="n">
        <x:v>0</x:v>
      </x:c>
      <x:c r="Q133" s="55" t="str">
        <x:v>8-7-02,8-M4</x:v>
      </x:c>
      <x:c r="R133" s="55" t="str">
        <x:v>ソースコード / Developer Test / docs/development/phase8-wave7-ai-result-initial.md</x:v>
      </x:c>
      <x:c r="S133" s="55" t="str">
        <x:v>共通DoDを満たし、Wave実装記録を更新</x:v>
      </x:c>
      <x:c r="T133" s="55"/>
      <x:c r="U133" s="55" t="str">
        <x:v>Wave 7</x:v>
      </x:c>
      <x:c r="V133" s="55" t="str">
        <x:v>Task</x:v>
      </x:c>
      <x:c r="W133" s="55" t="str">
        <x:v>1日=4h</x:v>
      </x:c>
    </x:row>
    <x:row r="134" ht="21.600000381469727" hidden="0" customHeight="1">
      <x:c r="A134" s="55" t="str">
        <x:v>8-7-04</x:v>
      </x:c>
      <x:c r="B134" s="55" t="str">
        <x:v>Phase 8</x:v>
      </x:c>
      <x:c r="C134" s="55" t="str">
        <x:v>新規実装</x:v>
      </x:c>
      <x:c r="D134" s="55" t="str">
        <x:v>予定</x:v>
      </x:c>
      <x:c r="E134" s="55" t="str">
        <x:v>AI Result</x:v>
      </x:c>
      <x:c r="F134" s="55" t="str">
        <x:v>AI_SUGGESTED・初期CURRENT登録</x:v>
      </x:c>
      <x:c r="G134" s="55" t="str">
        <x:v>AI_SUGGESTEDとCURRENTを登録しAI由来CURRENTへai_process_idを設定</x:v>
      </x:c>
      <x:c r="H134" s="55" t="str">
        <x:v>未着手</x:v>
      </x:c>
      <x:c r="I134" s="55" t="str">
        <x:v>High</x:v>
      </x:c>
      <x:c r="J134" s="55" t="str">
        <x:v>PO + AI支援</x:v>
      </x:c>
      <x:c r="K134" s="62" t="n">
        <x:v>0.75</x:v>
      </x:c>
      <x:c r="L134" s="57"/>
      <x:c r="M134" s="57"/>
      <x:c r="N134" s="57"/>
      <x:c r="O134" s="57"/>
      <x:c r="P134" s="58" t="n">
        <x:v>0</x:v>
      </x:c>
      <x:c r="Q134" s="55" t="str">
        <x:v>8-7-03</x:v>
      </x:c>
      <x:c r="R134" s="55" t="str">
        <x:v>ソースコード / Developer Test / docs/development/phase8-wave7-ai-result-initial.md</x:v>
      </x:c>
      <x:c r="S134" s="55" t="str">
        <x:v>共通DoDを満たし、Wave実装記録を更新</x:v>
      </x:c>
      <x:c r="T134" s="55"/>
      <x:c r="U134" s="55" t="str">
        <x:v>Wave 7</x:v>
      </x:c>
      <x:c r="V134" s="55" t="str">
        <x:v>Task</x:v>
      </x:c>
      <x:c r="W134" s="55" t="str">
        <x:v>1日=4h</x:v>
      </x:c>
    </x:row>
    <x:row r="135" ht="21.600000381469727" hidden="0" customHeight="1">
      <x:c r="A135" s="55" t="str">
        <x:v>8-7-05</x:v>
      </x:c>
      <x:c r="B135" s="55" t="str">
        <x:v>Phase 8</x:v>
      </x:c>
      <x:c r="C135" s="55" t="str">
        <x:v>新規実装</x:v>
      </x:c>
      <x:c r="D135" s="55" t="str">
        <x:v>予定</x:v>
      </x:c>
      <x:c r="E135" s="55" t="str">
        <x:v>AI Result</x:v>
      </x:c>
      <x:c r="F135" s="55" t="str">
        <x:v>COMPLETED / CANCELLED / ロック失敗処理</x:v>
      </x:c>
      <x:c r="G135" s="55" t="str">
        <x:v>成功確定、CURRENT出現/memo削除時CANCELLED、反映ロック失敗FAILEDを実装</x:v>
      </x:c>
      <x:c r="H135" s="55" t="str">
        <x:v>未着手</x:v>
      </x:c>
      <x:c r="I135" s="55" t="str">
        <x:v>High</x:v>
      </x:c>
      <x:c r="J135" s="55" t="str">
        <x:v>PO + AI支援</x:v>
      </x:c>
      <x:c r="K135" s="62" t="n">
        <x:v>0.75</x:v>
      </x:c>
      <x:c r="L135" s="57"/>
      <x:c r="M135" s="57"/>
      <x:c r="N135" s="57"/>
      <x:c r="O135" s="57"/>
      <x:c r="P135" s="58" t="n">
        <x:v>0</x:v>
      </x:c>
      <x:c r="Q135" s="55" t="str">
        <x:v>8-7-04,8-5-02</x:v>
      </x:c>
      <x:c r="R135" s="55" t="str">
        <x:v>ソースコード / Developer Test / docs/development/phase8-wave7-ai-result-initial.md</x:v>
      </x:c>
      <x:c r="S135" s="55" t="str">
        <x:v>共通DoDを満たし、Wave実装記録を更新</x:v>
      </x:c>
      <x:c r="T135" s="55"/>
      <x:c r="U135" s="55" t="str">
        <x:v>Wave 7</x:v>
      </x:c>
      <x:c r="V135" s="55" t="str">
        <x:v>Task</x:v>
      </x:c>
      <x:c r="W135" s="55" t="str">
        <x:v>1日=4h</x:v>
      </x:c>
    </x:row>
    <x:row r="136" ht="21.600000381469727" hidden="0" customHeight="1">
      <x:c r="A136" s="55" t="str">
        <x:v>8-7-06</x:v>
      </x:c>
      <x:c r="B136" s="55" t="str">
        <x:v>Phase 8</x:v>
      </x:c>
      <x:c r="C136" s="55" t="str">
        <x:v>新規実装</x:v>
      </x:c>
      <x:c r="D136" s="55" t="str">
        <x:v>予定</x:v>
      </x:c>
      <x:c r="E136" s="55" t="str">
        <x:v>outdated</x:v>
      </x:c>
      <x:c r="F136" s="55" t="str">
        <x:v>AI由来CURRENT outdated判定</x:v>
      </x:c>
      <x:c r="G136" s="55" t="str">
        <x:v>ai_processes.created_atを基準にAI由来CURRENTのoutdatedをDTOへ反映</x:v>
      </x:c>
      <x:c r="H136" s="55" t="str">
        <x:v>未着手</x:v>
      </x:c>
      <x:c r="I136" s="55" t="str">
        <x:v>High</x:v>
      </x:c>
      <x:c r="J136" s="55" t="str">
        <x:v>PO + AI支援</x:v>
      </x:c>
      <x:c r="K136" s="62" t="n">
        <x:v>0.5</x:v>
      </x:c>
      <x:c r="L136" s="57"/>
      <x:c r="M136" s="57"/>
      <x:c r="N136" s="57"/>
      <x:c r="O136" s="57"/>
      <x:c r="P136" s="58" t="n">
        <x:v>0</x:v>
      </x:c>
      <x:c r="Q136" s="55" t="str">
        <x:v>8-7-04</x:v>
      </x:c>
      <x:c r="R136" s="55" t="str">
        <x:v>ソースコード / Developer Test / docs/development/phase8-wave7-ai-result-initial.md</x:v>
      </x:c>
      <x:c r="S136" s="55" t="str">
        <x:v>共通DoDを満たし、Wave実装記録を更新</x:v>
      </x:c>
      <x:c r="T136" s="55"/>
      <x:c r="U136" s="55" t="str">
        <x:v>Wave 7</x:v>
      </x:c>
      <x:c r="V136" s="55" t="str">
        <x:v>Task</x:v>
      </x:c>
      <x:c r="W136" s="55" t="str">
        <x:v>1日=4h</x:v>
      </x:c>
    </x:row>
    <x:row r="137" ht="21.600000381469727" hidden="0" customHeight="1">
      <x:c r="A137" s="55" t="str">
        <x:v>8-7-07</x:v>
      </x:c>
      <x:c r="B137" s="55" t="str">
        <x:v>Phase 8</x:v>
      </x:c>
      <x:c r="C137" s="55" t="str">
        <x:v>新規実装</x:v>
      </x:c>
      <x:c r="D137" s="55" t="str">
        <x:v>予定</x:v>
      </x:c>
      <x:c r="E137" s="55" t="str">
        <x:v>Developer Test</x:v>
      </x:c>
      <x:c r="F137" s="55" t="str">
        <x:v>INITIAL結果反映テスト</x:v>
      </x:c>
      <x:c r="G137" s="55" t="str">
        <x:v>解析・既存再利用・CURRENT来歴・COMPLETED/CANCELLEDをテスト</x:v>
      </x:c>
      <x:c r="H137" s="55" t="str">
        <x:v>未着手</x:v>
      </x:c>
      <x:c r="I137" s="55" t="str">
        <x:v>High</x:v>
      </x:c>
      <x:c r="J137" s="55" t="str">
        <x:v>PO + AI支援</x:v>
      </x:c>
      <x:c r="K137" s="62" t="n">
        <x:v>0.5</x:v>
      </x:c>
      <x:c r="L137" s="57"/>
      <x:c r="M137" s="57"/>
      <x:c r="N137" s="57"/>
      <x:c r="O137" s="57"/>
      <x:c r="P137" s="58" t="n">
        <x:v>0</x:v>
      </x:c>
      <x:c r="Q137" s="55" t="str">
        <x:v>8-7-05,8-7-06</x:v>
      </x:c>
      <x:c r="R137" s="55" t="str">
        <x:v>ソースコード / Developer Test / docs/development/phase8-wave7-ai-result-initial.md</x:v>
      </x:c>
      <x:c r="S137" s="55" t="str">
        <x:v>共通DoDを満たし、Wave実装記録を更新</x:v>
      </x:c>
      <x:c r="T137" s="55"/>
      <x:c r="U137" s="55" t="str">
        <x:v>Wave 7</x:v>
      </x:c>
      <x:c r="V137" s="55" t="str">
        <x:v>Task</x:v>
      </x:c>
      <x:c r="W137" s="55" t="str">
        <x:v>1日=4h</x:v>
      </x:c>
    </x:row>
    <x:row r="138" ht="21.600000381469727" hidden="0" customHeight="1">
      <x:c r="A138" s="55" t="str">
        <x:v>8-8-01</x:v>
      </x:c>
      <x:c r="B138" s="55" t="str">
        <x:v>Phase 8</x:v>
      </x:c>
      <x:c r="C138" s="55" t="str">
        <x:v>新規実装</x:v>
      </x:c>
      <x:c r="D138" s="55" t="str">
        <x:v>予定</x:v>
      </x:c>
      <x:c r="E138" s="55" t="str">
        <x:v>UseCase</x:v>
      </x:c>
      <x:c r="F138" s="55" t="str">
        <x:v>INITIAL開始Tx・snapshot実装</x:v>
      </x:c>
      <x:c r="G138" s="55" t="str">
        <x:v>memoロック、開始条件、PROCESSING作成、snapshot取得、commitを実装</x:v>
      </x:c>
      <x:c r="H138" s="55" t="str">
        <x:v>未着手</x:v>
      </x:c>
      <x:c r="I138" s="55" t="str">
        <x:v>High</x:v>
      </x:c>
      <x:c r="J138" s="55" t="str">
        <x:v>PO + AI支援</x:v>
      </x:c>
      <x:c r="K138" s="62" t="n">
        <x:v>1</x:v>
      </x:c>
      <x:c r="L138" s="57"/>
      <x:c r="M138" s="57"/>
      <x:c r="N138" s="57"/>
      <x:c r="O138" s="57"/>
      <x:c r="P138" s="58" t="n">
        <x:v>0</x:v>
      </x:c>
      <x:c r="Q138" s="55" t="str">
        <x:v>8-5-07,8-M2</x:v>
      </x:c>
      <x:c r="R138" s="55" t="str">
        <x:v>ソースコード / Developer Test / docs/development/phase8-wave8-ai-usecase.md</x:v>
      </x:c>
      <x:c r="S138" s="55" t="str">
        <x:v>共通DoDを満たし、Wave実装記録を更新</x:v>
      </x:c>
      <x:c r="T138" s="55"/>
      <x:c r="U138" s="55" t="str">
        <x:v>Wave 8</x:v>
      </x:c>
      <x:c r="V138" s="55" t="str">
        <x:v>Task</x:v>
      </x:c>
      <x:c r="W138" s="55" t="str">
        <x:v>1日=4h</x:v>
      </x:c>
    </x:row>
    <x:row r="139" ht="21.600000381469727" hidden="0" customHeight="1">
      <x:c r="A139" s="55" t="str">
        <x:v>8-8-02</x:v>
      </x:c>
      <x:c r="B139" s="55" t="str">
        <x:v>Phase 8</x:v>
      </x:c>
      <x:c r="C139" s="55" t="str">
        <x:v>新規実装</x:v>
      </x:c>
      <x:c r="D139" s="55" t="str">
        <x:v>予定</x:v>
      </x:c>
      <x:c r="E139" s="55" t="str">
        <x:v>UseCase</x:v>
      </x:c>
      <x:c r="F139" s="55" t="str">
        <x:v>非同期通信→反映→markFailed実装</x:v>
      </x:c>
      <x:c r="G139" s="55" t="str">
        <x:v>非同期でAiServiceClientを呼びAiResultServiceへ反映。例外全般で条件付きmarkFailed</x:v>
      </x:c>
      <x:c r="H139" s="55" t="str">
        <x:v>未着手</x:v>
      </x:c>
      <x:c r="I139" s="55" t="str">
        <x:v>High</x:v>
      </x:c>
      <x:c r="J139" s="55" t="str">
        <x:v>PO + AI支援</x:v>
      </x:c>
      <x:c r="K139" s="62" t="n">
        <x:v>1.25</x:v>
      </x:c>
      <x:c r="L139" s="57"/>
      <x:c r="M139" s="57"/>
      <x:c r="N139" s="57"/>
      <x:c r="O139" s="57"/>
      <x:c r="P139" s="58" t="n">
        <x:v>0</x:v>
      </x:c>
      <x:c r="Q139" s="55" t="str">
        <x:v>8-8-01,8-M5,8-7-07</x:v>
      </x:c>
      <x:c r="R139" s="55" t="str">
        <x:v>ソースコード / Developer Test / docs/development/phase8-wave8-ai-usecase.md</x:v>
      </x:c>
      <x:c r="S139" s="55" t="str">
        <x:v>共通DoDを満たし、Wave実装記録を更新</x:v>
      </x:c>
      <x:c r="T139" s="55"/>
      <x:c r="U139" s="55" t="str">
        <x:v>Wave 8</x:v>
      </x:c>
      <x:c r="V139" s="55" t="str">
        <x:v>Task</x:v>
      </x:c>
      <x:c r="W139" s="55" t="str">
        <x:v>1日=4h</x:v>
      </x:c>
    </x:row>
    <x:row r="140" ht="21.600000381469727" hidden="0" customHeight="1">
      <x:c r="A140" s="55" t="str">
        <x:v>8-8-03</x:v>
      </x:c>
      <x:c r="B140" s="55" t="str">
        <x:v>Phase 8</x:v>
      </x:c>
      <x:c r="C140" s="55" t="str">
        <x:v>新規実装</x:v>
      </x:c>
      <x:c r="D140" s="55" t="str">
        <x:v>予定</x:v>
      </x:c>
      <x:c r="E140" s="55" t="str">
        <x:v>API</x:v>
      </x:c>
      <x:c r="F140" s="55" t="str">
        <x:v>INITIAL API・memo作成連携</x:v>
      </x:c>
      <x:c r="G140" s="55" t="str">
        <x:v>POST /memos等からAI完了を待たずINITIALを起動する接続を実装</x:v>
      </x:c>
      <x:c r="H140" s="55" t="str">
        <x:v>未着手</x:v>
      </x:c>
      <x:c r="I140" s="55" t="str">
        <x:v>High</x:v>
      </x:c>
      <x:c r="J140" s="55" t="str">
        <x:v>PO + AI支援</x:v>
      </x:c>
      <x:c r="K140" s="62" t="n">
        <x:v>0.75</x:v>
      </x:c>
      <x:c r="L140" s="57"/>
      <x:c r="M140" s="57"/>
      <x:c r="N140" s="57"/>
      <x:c r="O140" s="57"/>
      <x:c r="P140" s="58" t="n">
        <x:v>0</x:v>
      </x:c>
      <x:c r="Q140" s="55" t="str">
        <x:v>8-8-02</x:v>
      </x:c>
      <x:c r="R140" s="55" t="str">
        <x:v>ソースコード / Developer Test / docs/development/phase8-wave8-ai-usecase.md</x:v>
      </x:c>
      <x:c r="S140" s="55" t="str">
        <x:v>共通DoDを満たし、Wave実装記録を更新</x:v>
      </x:c>
      <x:c r="T140" s="55"/>
      <x:c r="U140" s="55" t="str">
        <x:v>Wave 8</x:v>
      </x:c>
      <x:c r="V140" s="55" t="str">
        <x:v>Task</x:v>
      </x:c>
      <x:c r="W140" s="55" t="str">
        <x:v>1日=4h</x:v>
      </x:c>
    </x:row>
    <x:row r="141" ht="21.600000381469727" hidden="0" customHeight="1">
      <x:c r="A141" s="55" t="str">
        <x:v>8-8-04</x:v>
      </x:c>
      <x:c r="B141" s="55" t="str">
        <x:v>Phase 8</x:v>
      </x:c>
      <x:c r="C141" s="55" t="str">
        <x:v>新規実装</x:v>
      </x:c>
      <x:c r="D141" s="55" t="str">
        <x:v>予定</x:v>
      </x:c>
      <x:c r="E141" s="55" t="str">
        <x:v>削除</x:v>
      </x:c>
      <x:c r="F141" s="55" t="str">
        <x:v>AI処理中memo削除の後始末拡張</x:v>
      </x:c>
      <x:c r="G141" s="55" t="str">
        <x:v>未判断proposalクリア、削除、SET NULL、遅延結果CANCELLEDを接続</x:v>
      </x:c>
      <x:c r="H141" s="55" t="str">
        <x:v>未着手</x:v>
      </x:c>
      <x:c r="I141" s="55" t="str">
        <x:v>High</x:v>
      </x:c>
      <x:c r="J141" s="55" t="str">
        <x:v>PO + AI支援</x:v>
      </x:c>
      <x:c r="K141" s="62" t="n">
        <x:v>0.75</x:v>
      </x:c>
      <x:c r="L141" s="57"/>
      <x:c r="M141" s="57"/>
      <x:c r="N141" s="57"/>
      <x:c r="O141" s="57"/>
      <x:c r="P141" s="58" t="n">
        <x:v>0</x:v>
      </x:c>
      <x:c r="Q141" s="55" t="str">
        <x:v>8-8-02,8-2-04</x:v>
      </x:c>
      <x:c r="R141" s="55" t="str">
        <x:v>ソースコード / Developer Test / docs/development/phase8-wave8-ai-usecase.md</x:v>
      </x:c>
      <x:c r="S141" s="55" t="str">
        <x:v>共通DoDを満たし、Wave実装記録を更新</x:v>
      </x:c>
      <x:c r="T141" s="55"/>
      <x:c r="U141" s="55" t="str">
        <x:v>Wave 8</x:v>
      </x:c>
      <x:c r="V141" s="55" t="str">
        <x:v>Task</x:v>
      </x:c>
      <x:c r="W141" s="55" t="str">
        <x:v>1日=4h</x:v>
      </x:c>
    </x:row>
    <x:row r="142" ht="21.600000381469727" hidden="0" customHeight="1">
      <x:c r="A142" s="55" t="str">
        <x:v>8-8-05</x:v>
      </x:c>
      <x:c r="B142" s="55" t="str">
        <x:v>Phase 8</x:v>
      </x:c>
      <x:c r="C142" s="55" t="str">
        <x:v>新規実装</x:v>
      </x:c>
      <x:c r="D142" s="55" t="str">
        <x:v>予定</x:v>
      </x:c>
      <x:c r="E142" s="55" t="str">
        <x:v>UI</x:v>
      </x:c>
      <x:c r="F142" s="55" t="str">
        <x:v>INITIAL状態表示・ポーリング接続</x:v>
      </x:c>
      <x:c r="G142" s="55" t="str">
        <x:v>PROCESSING/FAILED/timeout/CURRENT等の状態をUIへ接続</x:v>
      </x:c>
      <x:c r="H142" s="55" t="str">
        <x:v>未着手</x:v>
      </x:c>
      <x:c r="I142" s="55" t="str">
        <x:v>High</x:v>
      </x:c>
      <x:c r="J142" s="55" t="str">
        <x:v>PO + AI支援</x:v>
      </x:c>
      <x:c r="K142" s="62" t="n">
        <x:v>0.75</x:v>
      </x:c>
      <x:c r="L142" s="57"/>
      <x:c r="M142" s="57"/>
      <x:c r="N142" s="57"/>
      <x:c r="O142" s="57"/>
      <x:c r="P142" s="58" t="n">
        <x:v>0</x:v>
      </x:c>
      <x:c r="Q142" s="55" t="str">
        <x:v>8-8-03</x:v>
      </x:c>
      <x:c r="R142" s="55" t="str">
        <x:v>ソースコード / Developer Test / docs/development/phase8-wave8-ai-usecase.md</x:v>
      </x:c>
      <x:c r="S142" s="55" t="str">
        <x:v>共通DoDを満たし、Wave実装記録を更新</x:v>
      </x:c>
      <x:c r="T142" s="55"/>
      <x:c r="U142" s="55" t="str">
        <x:v>Wave 8</x:v>
      </x:c>
      <x:c r="V142" s="55" t="str">
        <x:v>Task</x:v>
      </x:c>
      <x:c r="W142" s="55" t="str">
        <x:v>1日=4h</x:v>
      </x:c>
    </x:row>
    <x:row r="143" ht="15" hidden="0" customHeight="1">
      <x:c r="A143" s="55" t="str">
        <x:v>8-M6</x:v>
      </x:c>
      <x:c r="B143" s="55" t="str">
        <x:v>Phase 8</x:v>
      </x:c>
      <x:c r="C143" s="55" t="str">
        <x:v>新規実装</x:v>
      </x:c>
      <x:c r="D143" s="55" t="str">
        <x:v>予定</x:v>
      </x:c>
      <x:c r="E143" s="55" t="str">
        <x:v>Milestone</x:v>
      </x:c>
      <x:c r="F143" s="55" t="str">
        <x:v>INITIAL E2E完了</x:v>
      </x:c>
      <x:c r="G143" s="55" t="str">
        <x:v>memo作成→AI整理→organization→CURRENTまでEnd-to-End成功</x:v>
      </x:c>
      <x:c r="H143" s="55" t="str">
        <x:v>未着手</x:v>
      </x:c>
      <x:c r="I143" s="55" t="str">
        <x:v>High</x:v>
      </x:c>
      <x:c r="J143" s="55" t="str">
        <x:v>PO + AI支援</x:v>
      </x:c>
      <x:c r="K143" s="62" t="n">
        <x:v>0</x:v>
      </x:c>
      <x:c r="L143" s="57"/>
      <x:c r="M143" s="57"/>
      <x:c r="N143" s="57"/>
      <x:c r="O143" s="57"/>
      <x:c r="P143" s="58" t="n">
        <x:v>0</x:v>
      </x:c>
      <x:c r="Q143" s="55" t="str">
        <x:v>8-8-04,8-8-05,8-6B-06</x:v>
      </x:c>
      <x:c r="R143" s="55" t="str">
        <x:v>phase8-wave8-ai-usecase.md</x:v>
      </x:c>
      <x:c r="S143" s="55" t="str">
        <x:v>M6達成</x:v>
      </x:c>
      <x:c r="T143" s="55"/>
      <x:c r="U143" s="55" t="str">
        <x:v>Wave 8</x:v>
      </x:c>
      <x:c r="V143" s="55" t="str">
        <x:v>Milestone</x:v>
      </x:c>
      <x:c r="W143" s="55" t="str">
        <x:v>—</x:v>
      </x:c>
    </x:row>
    <x:row r="144" ht="21.600000381469727" hidden="0" customHeight="1">
      <x:c r="A144" s="55" t="str">
        <x:v>8-9-01</x:v>
      </x:c>
      <x:c r="B144" s="55" t="str">
        <x:v>Phase 8</x:v>
      </x:c>
      <x:c r="C144" s="55" t="str">
        <x:v>新規実装</x:v>
      </x:c>
      <x:c r="D144" s="55" t="str">
        <x:v>予定</x:v>
      </x:c>
      <x:c r="E144" s="55" t="str">
        <x:v>REORGANIZE</x:v>
      </x:c>
      <x:c r="F144" s="55" t="str">
        <x:v>REORGANIZE開始・AI結果proposal保存</x:v>
      </x:c>
      <x:c r="G144" s="55" t="str">
        <x:v>開始条件、snapshot、AI通信、既存ID解決、proposed_result保存を実装</x:v>
      </x:c>
      <x:c r="H144" s="55" t="str">
        <x:v>未着手</x:v>
      </x:c>
      <x:c r="I144" s="55" t="str">
        <x:v>High</x:v>
      </x:c>
      <x:c r="J144" s="55" t="str">
        <x:v>PO + AI支援</x:v>
      </x:c>
      <x:c r="K144" s="62" t="n">
        <x:v>1.25</x:v>
      </x:c>
      <x:c r="L144" s="57"/>
      <x:c r="M144" s="57"/>
      <x:c r="N144" s="57"/>
      <x:c r="O144" s="57"/>
      <x:c r="P144" s="58" t="n">
        <x:v>0</x:v>
      </x:c>
      <x:c r="Q144" s="55" t="str">
        <x:v>8-M6,8-5-04,8-5-05</x:v>
      </x:c>
      <x:c r="R144" s="55" t="str">
        <x:v>ソースコード / Developer Test / docs/development/phase8-wave9-reorganize.md</x:v>
      </x:c>
      <x:c r="S144" s="55" t="str">
        <x:v>共通DoDを満たし、Wave実装記録を更新</x:v>
      </x:c>
      <x:c r="T144" s="55"/>
      <x:c r="U144" s="55" t="str">
        <x:v>Wave 9</x:v>
      </x:c>
      <x:c r="V144" s="55" t="str">
        <x:v>Task</x:v>
      </x:c>
      <x:c r="W144" s="55" t="str">
        <x:v>1日=4h</x:v>
      </x:c>
    </x:row>
    <x:row r="145" ht="21.600000381469727" hidden="0" customHeight="1">
      <x:c r="A145" s="55" t="str">
        <x:v>8-9-02</x:v>
      </x:c>
      <x:c r="B145" s="55" t="str">
        <x:v>Phase 8</x:v>
      </x:c>
      <x:c r="C145" s="55" t="str">
        <x:v>新規実装</x:v>
      </x:c>
      <x:c r="D145" s="55" t="str">
        <x:v>予定</x:v>
      </x:c>
      <x:c r="E145" s="55" t="str">
        <x:v>REORGANIZE</x:v>
      </x:c>
      <x:c r="F145" s="55" t="str">
        <x:v>採用・使わない・変更して使うBackend</x:v>
      </x:c>
      <x:c r="G145" s="55" t="str">
        <x:v>aiProcessId検証と各判断フローをWave4/5の共通処理利用で実装</x:v>
      </x:c>
      <x:c r="H145" s="55" t="str">
        <x:v>未着手</x:v>
      </x:c>
      <x:c r="I145" s="55" t="str">
        <x:v>High</x:v>
      </x:c>
      <x:c r="J145" s="55" t="str">
        <x:v>PO + AI支援</x:v>
      </x:c>
      <x:c r="K145" s="62" t="n">
        <x:v>1.5</x:v>
      </x:c>
      <x:c r="L145" s="57"/>
      <x:c r="M145" s="57"/>
      <x:c r="N145" s="57"/>
      <x:c r="O145" s="57"/>
      <x:c r="P145" s="58" t="n">
        <x:v>0</x:v>
      </x:c>
      <x:c r="Q145" s="55" t="str">
        <x:v>8-9-01</x:v>
      </x:c>
      <x:c r="R145" s="55" t="str">
        <x:v>ソースコード / Developer Test / docs/development/phase8-wave9-reorganize.md</x:v>
      </x:c>
      <x:c r="S145" s="55" t="str">
        <x:v>共通DoDを満たし、Wave実装記録を更新</x:v>
      </x:c>
      <x:c r="T145" s="55"/>
      <x:c r="U145" s="55" t="str">
        <x:v>Wave 9</x:v>
      </x:c>
      <x:c r="V145" s="55" t="str">
        <x:v>Task</x:v>
      </x:c>
      <x:c r="W145" s="55" t="str">
        <x:v>1日=4h</x:v>
      </x:c>
    </x:row>
    <x:row r="146" ht="21.600000381469727" hidden="0" customHeight="1">
      <x:c r="A146" s="55" t="str">
        <x:v>8-9-03</x:v>
      </x:c>
      <x:c r="B146" s="55" t="str">
        <x:v>Phase 8</x:v>
      </x:c>
      <x:c r="C146" s="55" t="str">
        <x:v>新規実装</x:v>
      </x:c>
      <x:c r="D146" s="55" t="str">
        <x:v>予定</x:v>
      </x:c>
      <x:c r="E146" s="55" t="str">
        <x:v>outdated</x:v>
      </x:c>
      <x:c r="F146" s="55" t="str">
        <x:v>proposal outdated判定</x:v>
      </x:c>
      <x:c r="G146" s="55" t="str">
        <x:v>proposal元ai_processes.created_atを基準にoutdatedを算出・返却</x:v>
      </x:c>
      <x:c r="H146" s="55" t="str">
        <x:v>未着手</x:v>
      </x:c>
      <x:c r="I146" s="55" t="str">
        <x:v>High</x:v>
      </x:c>
      <x:c r="J146" s="55" t="str">
        <x:v>PO + AI支援</x:v>
      </x:c>
      <x:c r="K146" s="62" t="n">
        <x:v>0.5</x:v>
      </x:c>
      <x:c r="L146" s="57"/>
      <x:c r="M146" s="57"/>
      <x:c r="N146" s="57"/>
      <x:c r="O146" s="57"/>
      <x:c r="P146" s="58" t="n">
        <x:v>0</x:v>
      </x:c>
      <x:c r="Q146" s="55" t="str">
        <x:v>8-9-01</x:v>
      </x:c>
      <x:c r="R146" s="55" t="str">
        <x:v>ソースコード / Developer Test / docs/development/phase8-wave9-reorganize.md</x:v>
      </x:c>
      <x:c r="S146" s="55" t="str">
        <x:v>共通DoDを満たし、Wave実装記録を更新</x:v>
      </x:c>
      <x:c r="T146" s="55"/>
      <x:c r="U146" s="55" t="str">
        <x:v>Wave 9</x:v>
      </x:c>
      <x:c r="V146" s="55" t="str">
        <x:v>Task</x:v>
      </x:c>
      <x:c r="W146" s="55" t="str">
        <x:v>1日=4h</x:v>
      </x:c>
    </x:row>
    <x:row r="147" ht="21.600000381469727" hidden="0" customHeight="1">
      <x:c r="A147" s="55" t="str">
        <x:v>8-9-04</x:v>
      </x:c>
      <x:c r="B147" s="55" t="str">
        <x:v>Phase 8</x:v>
      </x:c>
      <x:c r="C147" s="55" t="str">
        <x:v>新規実装</x:v>
      </x:c>
      <x:c r="D147" s="55" t="str">
        <x:v>予定</x:v>
      </x:c>
      <x:c r="E147" s="55" t="str">
        <x:v>UI</x:v>
      </x:c>
      <x:c r="F147" s="55" t="str">
        <x:v>proposal比較・判断UI</x:v>
      </x:c>
      <x:c r="G147" s="55" t="str">
        <x:v>現在構造とproposal比較、採用/変更/却下UIとFIFO切替を実装</x:v>
      </x:c>
      <x:c r="H147" s="55" t="str">
        <x:v>未着手</x:v>
      </x:c>
      <x:c r="I147" s="55" t="str">
        <x:v>High</x:v>
      </x:c>
      <x:c r="J147" s="55" t="str">
        <x:v>PO + AI支援</x:v>
      </x:c>
      <x:c r="K147" s="62" t="n">
        <x:v>1.25</x:v>
      </x:c>
      <x:c r="L147" s="57"/>
      <x:c r="M147" s="57"/>
      <x:c r="N147" s="57"/>
      <x:c r="O147" s="57"/>
      <x:c r="P147" s="58" t="n">
        <x:v>0</x:v>
      </x:c>
      <x:c r="Q147" s="55" t="str">
        <x:v>8-9-02,8-9-03</x:v>
      </x:c>
      <x:c r="R147" s="55" t="str">
        <x:v>ソースコード / Developer Test / docs/development/phase8-wave9-reorganize.md</x:v>
      </x:c>
      <x:c r="S147" s="55" t="str">
        <x:v>共通DoDを満たし、Wave実装記録を更新</x:v>
      </x:c>
      <x:c r="T147" s="55"/>
      <x:c r="U147" s="55" t="str">
        <x:v>Wave 9</x:v>
      </x:c>
      <x:c r="V147" s="55" t="str">
        <x:v>Task</x:v>
      </x:c>
      <x:c r="W147" s="55" t="str">
        <x:v>1日=4h</x:v>
      </x:c>
    </x:row>
    <x:row r="148" ht="21.600000381469727" hidden="0" customHeight="1">
      <x:c r="A148" s="55" t="str">
        <x:v>8-9-05</x:v>
      </x:c>
      <x:c r="B148" s="55" t="str">
        <x:v>Phase 8</x:v>
      </x:c>
      <x:c r="C148" s="55" t="str">
        <x:v>新規実装</x:v>
      </x:c>
      <x:c r="D148" s="55" t="str">
        <x:v>予定</x:v>
      </x:c>
      <x:c r="E148" s="55" t="str">
        <x:v>Developer Test</x:v>
      </x:c>
      <x:c r="F148" s="55" t="str">
        <x:v>REORGANIZE判断・FIFOガード確認</x:v>
      </x:c>
      <x:c r="G148" s="55" t="str">
        <x:v>PROPOSAL_STALE/DECISION_TARGET_MISMATCH/NO_PENDING等を含む主要ガードを確認</x:v>
      </x:c>
      <x:c r="H148" s="55" t="str">
        <x:v>未着手</x:v>
      </x:c>
      <x:c r="I148" s="55" t="str">
        <x:v>High</x:v>
      </x:c>
      <x:c r="J148" s="55" t="str">
        <x:v>PO + AI支援</x:v>
      </x:c>
      <x:c r="K148" s="62" t="n">
        <x:v>1</x:v>
      </x:c>
      <x:c r="L148" s="57"/>
      <x:c r="M148" s="57"/>
      <x:c r="N148" s="57"/>
      <x:c r="O148" s="57"/>
      <x:c r="P148" s="58" t="n">
        <x:v>0</x:v>
      </x:c>
      <x:c r="Q148" s="55" t="str">
        <x:v>8-9-02,8-9-04</x:v>
      </x:c>
      <x:c r="R148" s="55" t="str">
        <x:v>ソースコード / Developer Test / docs/development/phase8-wave9-reorganize.md</x:v>
      </x:c>
      <x:c r="S148" s="55" t="str">
        <x:v>共通DoDを満たし、Wave実装記録を更新</x:v>
      </x:c>
      <x:c r="T148" s="55"/>
      <x:c r="U148" s="55" t="str">
        <x:v>Wave 9</x:v>
      </x:c>
      <x:c r="V148" s="55" t="str">
        <x:v>Task</x:v>
      </x:c>
      <x:c r="W148" s="55" t="str">
        <x:v>1日=4h</x:v>
      </x:c>
    </x:row>
    <x:row r="149" ht="15" hidden="0" customHeight="1">
      <x:c r="A149" s="55" t="str">
        <x:v>8-M7</x:v>
      </x:c>
      <x:c r="B149" s="55" t="str">
        <x:v>Phase 8</x:v>
      </x:c>
      <x:c r="C149" s="55" t="str">
        <x:v>新規実装</x:v>
      </x:c>
      <x:c r="D149" s="55" t="str">
        <x:v>予定</x:v>
      </x:c>
      <x:c r="E149" s="55" t="str">
        <x:v>Milestone</x:v>
      </x:c>
      <x:c r="F149" s="55" t="str">
        <x:v>REORGANIZE E2E完了</x:v>
      </x:c>
      <x:c r="G149" s="55" t="str">
        <x:v>再整理→proposal→採用/変更/却下がEnd-to-End成功</x:v>
      </x:c>
      <x:c r="H149" s="55" t="str">
        <x:v>未着手</x:v>
      </x:c>
      <x:c r="I149" s="55" t="str">
        <x:v>High</x:v>
      </x:c>
      <x:c r="J149" s="55" t="str">
        <x:v>PO + AI支援</x:v>
      </x:c>
      <x:c r="K149" s="62" t="n">
        <x:v>0</x:v>
      </x:c>
      <x:c r="L149" s="57"/>
      <x:c r="M149" s="57"/>
      <x:c r="N149" s="57"/>
      <x:c r="O149" s="57"/>
      <x:c r="P149" s="58" t="n">
        <x:v>0</x:v>
      </x:c>
      <x:c r="Q149" s="55" t="str">
        <x:v>8-9-05</x:v>
      </x:c>
      <x:c r="R149" s="55" t="str">
        <x:v>phase8-wave9-reorganize.md</x:v>
      </x:c>
      <x:c r="S149" s="55" t="str">
        <x:v>M7達成</x:v>
      </x:c>
      <x:c r="T149" s="55"/>
      <x:c r="U149" s="55" t="str">
        <x:v>Wave 9</x:v>
      </x:c>
      <x:c r="V149" s="55" t="str">
        <x:v>Milestone</x:v>
      </x:c>
      <x:c r="W149" s="55" t="str">
        <x:v>—</x:v>
      </x:c>
    </x:row>
    <x:row r="150" ht="32.400001525878906" hidden="0" customHeight="1">
      <x:c r="A150" s="55" t="str">
        <x:v>8-10-01</x:v>
      </x:c>
      <x:c r="B150" s="55" t="str">
        <x:v>Phase 8</x:v>
      </x:c>
      <x:c r="C150" s="55" t="str">
        <x:v>新規実装</x:v>
      </x:c>
      <x:c r="D150" s="55" t="str">
        <x:v>予定</x:v>
      </x:c>
      <x:c r="E150" s="55" t="str">
        <x:v>競合検証</x:v>
      </x:c>
      <x:c r="F150" s="55" t="str">
        <x:v>主要競合シナリオ横断確認</x:v>
      </x:c>
      <x:c r="G150" s="55" t="str">
        <x:v>通常CURRENT変更、INITIAL/REORG、二重送信等の競合を横断確認</x:v>
      </x:c>
      <x:c r="H150" s="55" t="str">
        <x:v>未着手</x:v>
      </x:c>
      <x:c r="I150" s="55" t="str">
        <x:v>High</x:v>
      </x:c>
      <x:c r="J150" s="55" t="str">
        <x:v>PO + AI支援</x:v>
      </x:c>
      <x:c r="K150" s="62" t="n">
        <x:v>1</x:v>
      </x:c>
      <x:c r="L150" s="57"/>
      <x:c r="M150" s="57"/>
      <x:c r="N150" s="57"/>
      <x:c r="O150" s="57"/>
      <x:c r="P150" s="58" t="n">
        <x:v>0</x:v>
      </x:c>
      <x:c r="Q150" s="55" t="str">
        <x:v>8-M7</x:v>
      </x:c>
      <x:c r="R150" s="55" t="str">
        <x:v>ソースコード / Developer Test / docs/development/phase8-wave10-error-concurrency.md</x:v>
      </x:c>
      <x:c r="S150" s="55" t="str">
        <x:v>共通DoDを満たし、Wave実装記録を更新</x:v>
      </x:c>
      <x:c r="T150" s="55"/>
      <x:c r="U150" s="55" t="str">
        <x:v>Wave 10</x:v>
      </x:c>
      <x:c r="V150" s="55" t="str">
        <x:v>Task</x:v>
      </x:c>
      <x:c r="W150" s="55" t="str">
        <x:v>1日=4h</x:v>
      </x:c>
    </x:row>
    <x:row r="151" ht="32.400001525878906" hidden="0" customHeight="1">
      <x:c r="A151" s="55" t="str">
        <x:v>8-10-02</x:v>
      </x:c>
      <x:c r="B151" s="55" t="str">
        <x:v>Phase 8</x:v>
      </x:c>
      <x:c r="C151" s="55" t="str">
        <x:v>新規実装</x:v>
      </x:c>
      <x:c r="D151" s="55" t="str">
        <x:v>予定</x:v>
      </x:c>
      <x:c r="E151" s="55" t="str">
        <x:v>異常系</x:v>
      </x:c>
      <x:c r="F151" s="55" t="str">
        <x:v>409エラーコード横断確認・補完</x:v>
      </x:c>
      <x:c r="G151" s="55" t="str">
        <x:v>7つの409コードが適切なWaveで実装済みか確認し漏れを補完</x:v>
      </x:c>
      <x:c r="H151" s="55" t="str">
        <x:v>未着手</x:v>
      </x:c>
      <x:c r="I151" s="55" t="str">
        <x:v>High</x:v>
      </x:c>
      <x:c r="J151" s="55" t="str">
        <x:v>PO + AI支援</x:v>
      </x:c>
      <x:c r="K151" s="62" t="n">
        <x:v>0.75</x:v>
      </x:c>
      <x:c r="L151" s="57"/>
      <x:c r="M151" s="57"/>
      <x:c r="N151" s="57"/>
      <x:c r="O151" s="57"/>
      <x:c r="P151" s="58" t="n">
        <x:v>0</x:v>
      </x:c>
      <x:c r="Q151" s="55" t="str">
        <x:v>8-10-01</x:v>
      </x:c>
      <x:c r="R151" s="55" t="str">
        <x:v>ソースコード / Developer Test / docs/development/phase8-wave10-error-concurrency.md</x:v>
      </x:c>
      <x:c r="S151" s="55" t="str">
        <x:v>共通DoDを満たし、Wave実装記録を更新</x:v>
      </x:c>
      <x:c r="T151" s="55"/>
      <x:c r="U151" s="55" t="str">
        <x:v>Wave 10</x:v>
      </x:c>
      <x:c r="V151" s="55" t="str">
        <x:v>Task</x:v>
      </x:c>
      <x:c r="W151" s="55" t="str">
        <x:v>1日=4h</x:v>
      </x:c>
    </x:row>
    <x:row r="152" ht="32.400001525878906" hidden="0" customHeight="1">
      <x:c r="A152" s="55" t="str">
        <x:v>8-10-03</x:v>
      </x:c>
      <x:c r="B152" s="55" t="str">
        <x:v>Phase 8</x:v>
      </x:c>
      <x:c r="C152" s="55" t="str">
        <x:v>新規実装</x:v>
      </x:c>
      <x:c r="D152" s="55" t="str">
        <x:v>予定</x:v>
      </x:c>
      <x:c r="E152" s="55" t="str">
        <x:v>outdated</x:v>
      </x:c>
      <x:c r="F152" s="55" t="str">
        <x:v>outdated横断確認</x:v>
      </x:c>
      <x:c r="G152" s="55" t="str">
        <x:v>手動CURRENT / AI CURRENT / proposalの判定・表示を横断確認</x:v>
      </x:c>
      <x:c r="H152" s="55" t="str">
        <x:v>未着手</x:v>
      </x:c>
      <x:c r="I152" s="55" t="str">
        <x:v>High</x:v>
      </x:c>
      <x:c r="J152" s="55" t="str">
        <x:v>PO + AI支援</x:v>
      </x:c>
      <x:c r="K152" s="62" t="n">
        <x:v>0.5</x:v>
      </x:c>
      <x:c r="L152" s="57"/>
      <x:c r="M152" s="57"/>
      <x:c r="N152" s="57"/>
      <x:c r="O152" s="57"/>
      <x:c r="P152" s="58" t="n">
        <x:v>0</x:v>
      </x:c>
      <x:c r="Q152" s="55" t="str">
        <x:v>8-10-01</x:v>
      </x:c>
      <x:c r="R152" s="55" t="str">
        <x:v>ソースコード / Developer Test / docs/development/phase8-wave10-error-concurrency.md</x:v>
      </x:c>
      <x:c r="S152" s="55" t="str">
        <x:v>共通DoDを満たし、Wave実装記録を更新</x:v>
      </x:c>
      <x:c r="T152" s="55"/>
      <x:c r="U152" s="55" t="str">
        <x:v>Wave 10</x:v>
      </x:c>
      <x:c r="V152" s="55" t="str">
        <x:v>Task</x:v>
      </x:c>
      <x:c r="W152" s="55" t="str">
        <x:v>1日=4h</x:v>
      </x:c>
    </x:row>
    <x:row r="153" ht="32.400001525878906" hidden="0" customHeight="1">
      <x:c r="A153" s="55" t="str">
        <x:v>8-10-04</x:v>
      </x:c>
      <x:c r="B153" s="55" t="str">
        <x:v>Phase 8</x:v>
      </x:c>
      <x:c r="C153" s="55" t="str">
        <x:v>新規実装</x:v>
      </x:c>
      <x:c r="D153" s="55" t="str">
        <x:v>予定</x:v>
      </x:c>
      <x:c r="E153" s="55" t="str">
        <x:v>削除/遅延</x:v>
      </x:c>
      <x:c r="F153" s="55" t="str">
        <x:v>AI処理中削除・遅延結果横断確認</x:v>
      </x:c>
      <x:c r="G153" s="55" t="str">
        <x:v>削除済memo復活防止、CANCELLED、残留回復後遅延結果を確認</x:v>
      </x:c>
      <x:c r="H153" s="55" t="str">
        <x:v>未着手</x:v>
      </x:c>
      <x:c r="I153" s="55" t="str">
        <x:v>High</x:v>
      </x:c>
      <x:c r="J153" s="55" t="str">
        <x:v>PO + AI支援</x:v>
      </x:c>
      <x:c r="K153" s="62" t="n">
        <x:v>0.75</x:v>
      </x:c>
      <x:c r="L153" s="57"/>
      <x:c r="M153" s="57"/>
      <x:c r="N153" s="57"/>
      <x:c r="O153" s="57"/>
      <x:c r="P153" s="58" t="n">
        <x:v>0</x:v>
      </x:c>
      <x:c r="Q153" s="55" t="str">
        <x:v>8-10-01</x:v>
      </x:c>
      <x:c r="R153" s="55" t="str">
        <x:v>ソースコード / Developer Test / docs/development/phase8-wave10-error-concurrency.md</x:v>
      </x:c>
      <x:c r="S153" s="55" t="str">
        <x:v>共通DoDを満たし、Wave実装記録を更新</x:v>
      </x:c>
      <x:c r="T153" s="55"/>
      <x:c r="U153" s="55" t="str">
        <x:v>Wave 10</x:v>
      </x:c>
      <x:c r="V153" s="55" t="str">
        <x:v>Task</x:v>
      </x:c>
      <x:c r="W153" s="55" t="str">
        <x:v>1日=4h</x:v>
      </x:c>
    </x:row>
    <x:row r="154" ht="32.400001525878906" hidden="0" customHeight="1">
      <x:c r="A154" s="55" t="str">
        <x:v>8-10-05</x:v>
      </x:c>
      <x:c r="B154" s="55" t="str">
        <x:v>Phase 8</x:v>
      </x:c>
      <x:c r="C154" s="55" t="str">
        <x:v>新規実装</x:v>
      </x:c>
      <x:c r="D154" s="55" t="str">
        <x:v>予定</x:v>
      </x:c>
      <x:c r="E154" s="55" t="str">
        <x:v>UI</x:v>
      </x:c>
      <x:c r="F154" s="55" t="str">
        <x:v>異常系UI表示横断確認</x:v>
      </x:c>
      <x:c r="G154" s="55" t="str">
        <x:v>409/FAILED/timeout等の表示・ボタン制御を横断確認</x:v>
      </x:c>
      <x:c r="H154" s="55" t="str">
        <x:v>未着手</x:v>
      </x:c>
      <x:c r="I154" s="55" t="str">
        <x:v>High</x:v>
      </x:c>
      <x:c r="J154" s="55" t="str">
        <x:v>PO + AI支援</x:v>
      </x:c>
      <x:c r="K154" s="62" t="n">
        <x:v>0.5</x:v>
      </x:c>
      <x:c r="L154" s="57"/>
      <x:c r="M154" s="57"/>
      <x:c r="N154" s="57"/>
      <x:c r="O154" s="57"/>
      <x:c r="P154" s="58" t="n">
        <x:v>0</x:v>
      </x:c>
      <x:c r="Q154" s="55" t="str">
        <x:v>8-10-02,8-10-03,8-10-04</x:v>
      </x:c>
      <x:c r="R154" s="55" t="str">
        <x:v>ソースコード / Developer Test / docs/development/phase8-wave10-error-concurrency.md</x:v>
      </x:c>
      <x:c r="S154" s="55" t="str">
        <x:v>共通DoDを満たし、Wave実装記録を更新</x:v>
      </x:c>
      <x:c r="T154" s="55"/>
      <x:c r="U154" s="55" t="str">
        <x:v>Wave 10</x:v>
      </x:c>
      <x:c r="V154" s="55" t="str">
        <x:v>Task</x:v>
      </x:c>
      <x:c r="W154" s="55" t="str">
        <x:v>1日=4h</x:v>
      </x:c>
    </x:row>
    <x:row r="155" ht="15" hidden="0" customHeight="1">
      <x:c r="A155" s="55" t="str">
        <x:v>8-M8</x:v>
      </x:c>
      <x:c r="B155" s="55" t="str">
        <x:v>Phase 8</x:v>
      </x:c>
      <x:c r="C155" s="55" t="str">
        <x:v>新規実装</x:v>
      </x:c>
      <x:c r="D155" s="55" t="str">
        <x:v>予定</x:v>
      </x:c>
      <x:c r="E155" s="55" t="str">
        <x:v>Milestone</x:v>
      </x:c>
      <x:c r="F155" s="55" t="str">
        <x:v>主要競合・異常系確認完了</x:v>
      </x:c>
      <x:c r="G155" s="55" t="str">
        <x:v>主要競合シナリオ・outdated・削除・409の横断確認完了</x:v>
      </x:c>
      <x:c r="H155" s="55" t="str">
        <x:v>未着手</x:v>
      </x:c>
      <x:c r="I155" s="55" t="str">
        <x:v>High</x:v>
      </x:c>
      <x:c r="J155" s="55" t="str">
        <x:v>PO + AI支援</x:v>
      </x:c>
      <x:c r="K155" s="62" t="n">
        <x:v>0</x:v>
      </x:c>
      <x:c r="L155" s="57"/>
      <x:c r="M155" s="57"/>
      <x:c r="N155" s="57"/>
      <x:c r="O155" s="57"/>
      <x:c r="P155" s="58" t="n">
        <x:v>0</x:v>
      </x:c>
      <x:c r="Q155" s="55" t="str">
        <x:v>8-10-05</x:v>
      </x:c>
      <x:c r="R155" s="55" t="str">
        <x:v>phase8-wave10-error-concurrency.md</x:v>
      </x:c>
      <x:c r="S155" s="55" t="str">
        <x:v>M8達成</x:v>
      </x:c>
      <x:c r="T155" s="55"/>
      <x:c r="U155" s="55" t="str">
        <x:v>Wave 10</x:v>
      </x:c>
      <x:c r="V155" s="55" t="str">
        <x:v>Milestone</x:v>
      </x:c>
      <x:c r="W155" s="55" t="str">
        <x:v>—</x:v>
      </x:c>
    </x:row>
    <x:row r="156" ht="21.600000381469727" hidden="0" customHeight="1">
      <x:c r="A156" s="55" t="str">
        <x:v>8-11-01</x:v>
      </x:c>
      <x:c r="B156" s="55" t="str">
        <x:v>Phase 8</x:v>
      </x:c>
      <x:c r="C156" s="55" t="str">
        <x:v>新規実装</x:v>
      </x:c>
      <x:c r="D156" s="55" t="str">
        <x:v>予定</x:v>
      </x:c>
      <x:c r="E156" s="55" t="str">
        <x:v>UI</x:v>
      </x:c>
      <x:c r="F156" s="55" t="str">
        <x:v>横断UI状態仕上げ</x:v>
      </x:c>
      <x:c r="G156" s="55" t="str">
        <x:v>loading / empty / error / ボタン活性・非活性を画面横断で統一</x:v>
      </x:c>
      <x:c r="H156" s="55" t="str">
        <x:v>未着手</x:v>
      </x:c>
      <x:c r="I156" s="55" t="str">
        <x:v>High</x:v>
      </x:c>
      <x:c r="J156" s="55" t="str">
        <x:v>PO + AI支援</x:v>
      </x:c>
      <x:c r="K156" s="62" t="n">
        <x:v>0.75</x:v>
      </x:c>
      <x:c r="L156" s="57"/>
      <x:c r="M156" s="57"/>
      <x:c r="N156" s="57"/>
      <x:c r="O156" s="57"/>
      <x:c r="P156" s="58" t="n">
        <x:v>0</x:v>
      </x:c>
      <x:c r="Q156" s="55" t="str">
        <x:v>8-M8</x:v>
      </x:c>
      <x:c r="R156" s="55" t="str">
        <x:v>ソースコード / Developer Test / docs/development/phase8-wave11-ui-finalization.md</x:v>
      </x:c>
      <x:c r="S156" s="55" t="str">
        <x:v>共通DoDを満たし、Wave実装記録を更新</x:v>
      </x:c>
      <x:c r="T156" s="55"/>
      <x:c r="U156" s="55" t="str">
        <x:v>Wave 11</x:v>
      </x:c>
      <x:c r="V156" s="55" t="str">
        <x:v>Task</x:v>
      </x:c>
      <x:c r="W156" s="55" t="str">
        <x:v>1日=4h</x:v>
      </x:c>
    </x:row>
    <x:row r="157" ht="21.600000381469727" hidden="0" customHeight="1">
      <x:c r="A157" s="55" t="str">
        <x:v>8-11-02</x:v>
      </x:c>
      <x:c r="B157" s="55" t="str">
        <x:v>Phase 8</x:v>
      </x:c>
      <x:c r="C157" s="55" t="str">
        <x:v>新規実装</x:v>
      </x:c>
      <x:c r="D157" s="55" t="str">
        <x:v>予定</x:v>
      </x:c>
      <x:c r="E157" s="55" t="str">
        <x:v>UI</x:v>
      </x:c>
      <x:c r="F157" s="55" t="str">
        <x:v>画面・文言最終調整</x:v>
      </x:c>
      <x:c r="G157" s="55" t="str">
        <x:v>Home / Memo詳細 / 整理構造編集の表示・文言を最終調整</x:v>
      </x:c>
      <x:c r="H157" s="55" t="str">
        <x:v>未着手</x:v>
      </x:c>
      <x:c r="I157" s="55" t="str">
        <x:v>High</x:v>
      </x:c>
      <x:c r="J157" s="55" t="str">
        <x:v>PO + AI支援</x:v>
      </x:c>
      <x:c r="K157" s="62" t="n">
        <x:v>0.5</x:v>
      </x:c>
      <x:c r="L157" s="57"/>
      <x:c r="M157" s="57"/>
      <x:c r="N157" s="57"/>
      <x:c r="O157" s="57"/>
      <x:c r="P157" s="58" t="n">
        <x:v>0</x:v>
      </x:c>
      <x:c r="Q157" s="55" t="str">
        <x:v>8-11-01</x:v>
      </x:c>
      <x:c r="R157" s="55" t="str">
        <x:v>ソースコード / Developer Test / docs/development/phase8-wave11-ui-finalization.md</x:v>
      </x:c>
      <x:c r="S157" s="55" t="str">
        <x:v>共通DoDを満たし、Wave実装記録を更新</x:v>
      </x:c>
      <x:c r="T157" s="55"/>
      <x:c r="U157" s="55" t="str">
        <x:v>Wave 11</x:v>
      </x:c>
      <x:c r="V157" s="55" t="str">
        <x:v>Task</x:v>
      </x:c>
      <x:c r="W157" s="55" t="str">
        <x:v>1日=4h</x:v>
      </x:c>
    </x:row>
    <x:row r="158" ht="21.600000381469727" hidden="0" customHeight="1">
      <x:c r="A158" s="55" t="str">
        <x:v>8-11-03</x:v>
      </x:c>
      <x:c r="B158" s="55" t="str">
        <x:v>Phase 8</x:v>
      </x:c>
      <x:c r="C158" s="55" t="str">
        <x:v>新規実装</x:v>
      </x:c>
      <x:c r="D158" s="55" t="str">
        <x:v>予定</x:v>
      </x:c>
      <x:c r="E158" s="55" t="str">
        <x:v>疎通</x:v>
      </x:c>
      <x:c r="F158" s="55" t="str">
        <x:v>Phase 8 MVP疎通確認</x:v>
      </x:c>
      <x:c r="G158" s="55" t="str">
        <x:v>主要正常系を通して実装漏れ・ブロッカーがないか確認</x:v>
      </x:c>
      <x:c r="H158" s="55" t="str">
        <x:v>未着手</x:v>
      </x:c>
      <x:c r="I158" s="55" t="str">
        <x:v>High</x:v>
      </x:c>
      <x:c r="J158" s="55" t="str">
        <x:v>PO + AI支援</x:v>
      </x:c>
      <x:c r="K158" s="62" t="n">
        <x:v>0.75</x:v>
      </x:c>
      <x:c r="L158" s="57"/>
      <x:c r="M158" s="57"/>
      <x:c r="N158" s="57"/>
      <x:c r="O158" s="57"/>
      <x:c r="P158" s="58" t="n">
        <x:v>0</x:v>
      </x:c>
      <x:c r="Q158" s="55" t="str">
        <x:v>8-11-02</x:v>
      </x:c>
      <x:c r="R158" s="55" t="str">
        <x:v>ソースコード / Developer Test / docs/development/phase8-wave11-ui-finalization.md</x:v>
      </x:c>
      <x:c r="S158" s="55" t="str">
        <x:v>共通DoDを満たし、Wave実装記録を更新</x:v>
      </x:c>
      <x:c r="T158" s="55"/>
      <x:c r="U158" s="55" t="str">
        <x:v>Wave 11</x:v>
      </x:c>
      <x:c r="V158" s="55" t="str">
        <x:v>Task</x:v>
      </x:c>
      <x:c r="W158" s="55" t="str">
        <x:v>1日=4h</x:v>
      </x:c>
    </x:row>
    <x:row r="159" ht="21.600000381469727" hidden="0" customHeight="1">
      <x:c r="A159" s="55" t="str">
        <x:v>8-11-04</x:v>
      </x:c>
      <x:c r="B159" s="55" t="str">
        <x:v>Phase 8</x:v>
      </x:c>
      <x:c r="C159" s="55" t="str">
        <x:v>新規実装</x:v>
      </x:c>
      <x:c r="D159" s="55" t="str">
        <x:v>予定</x:v>
      </x:c>
      <x:c r="E159" s="55" t="str">
        <x:v>記録</x:v>
      </x:c>
      <x:c r="F159" s="55" t="str">
        <x:v>Phase 8残課題・Phase 9申し送り整理</x:v>
      </x:c>
      <x:c r="G159" s="55" t="str">
        <x:v>Developer Test再利用対象、未解決課題、Phase 9テスト観点を整理</x:v>
      </x:c>
      <x:c r="H159" s="55" t="str">
        <x:v>未着手</x:v>
      </x:c>
      <x:c r="I159" s="55" t="str">
        <x:v>High</x:v>
      </x:c>
      <x:c r="J159" s="55" t="str">
        <x:v>PO + AI支援</x:v>
      </x:c>
      <x:c r="K159" s="62" t="n">
        <x:v>0.5</x:v>
      </x:c>
      <x:c r="L159" s="57"/>
      <x:c r="M159" s="57"/>
      <x:c r="N159" s="57"/>
      <x:c r="O159" s="57"/>
      <x:c r="P159" s="58" t="n">
        <x:v>0</x:v>
      </x:c>
      <x:c r="Q159" s="55" t="str">
        <x:v>8-11-03</x:v>
      </x:c>
      <x:c r="R159" s="55" t="str">
        <x:v>ソースコード / Developer Test / docs/development/phase8-wave11-ui-finalization.md</x:v>
      </x:c>
      <x:c r="S159" s="55" t="str">
        <x:v>共通DoDを満たし、Wave実装記録を更新</x:v>
      </x:c>
      <x:c r="T159" s="55"/>
      <x:c r="U159" s="55" t="str">
        <x:v>Wave 11</x:v>
      </x:c>
      <x:c r="V159" s="55" t="str">
        <x:v>Task</x:v>
      </x:c>
      <x:c r="W159" s="55" t="str">
        <x:v>1日=4h</x:v>
      </x:c>
    </x:row>
    <x:row r="160" ht="21.600000381469727" hidden="0" customHeight="1">
      <x:c r="A160" s="55" t="str">
        <x:v>8-M9</x:v>
      </x:c>
      <x:c r="B160" s="55" t="str">
        <x:v>Phase 8</x:v>
      </x:c>
      <x:c r="C160" s="55" t="str">
        <x:v>新規実装</x:v>
      </x:c>
      <x:c r="D160" s="55" t="str">
        <x:v>予定</x:v>
      </x:c>
      <x:c r="E160" s="55" t="str">
        <x:v>Milestone</x:v>
      </x:c>
      <x:c r="F160" s="55" t="str">
        <x:v>Phase 8実装完了</x:v>
      </x:c>
      <x:c r="G160" s="55" t="str">
        <x:v>MVP実装完了、Phase 9正式テストへ進行可能</x:v>
      </x:c>
      <x:c r="H160" s="55" t="str">
        <x:v>未着手</x:v>
      </x:c>
      <x:c r="I160" s="55" t="str">
        <x:v>High</x:v>
      </x:c>
      <x:c r="J160" s="55" t="str">
        <x:v>PO + AI支援</x:v>
      </x:c>
      <x:c r="K160" s="62" t="n">
        <x:v>0</x:v>
      </x:c>
      <x:c r="L160" s="57"/>
      <x:c r="M160" s="57"/>
      <x:c r="N160" s="57"/>
      <x:c r="O160" s="57"/>
      <x:c r="P160" s="58" t="n">
        <x:v>0</x:v>
      </x:c>
      <x:c r="Q160" s="55" t="str">
        <x:v>8-11-04</x:v>
      </x:c>
      <x:c r="R160" s="55" t="str">
        <x:v>phase8-wave11-ui-finalization.md / Phase 8実装成果物</x:v>
      </x:c>
      <x:c r="S160" s="55" t="str">
        <x:v>M9達成・Phase 9開始可能</x:v>
      </x:c>
      <x:c r="T160" s="55"/>
      <x:c r="U160" s="55" t="str">
        <x:v>Wave 11</x:v>
      </x:c>
      <x:c r="V160" s="55" t="str">
        <x:v>Milestone</x:v>
      </x:c>
      <x:c r="W160" s="55" t="str">
        <x:v>—</x:v>
      </x:c>
    </x:row>
    <x:row r="161" ht="15" hidden="0" customHeight="1">
      <x:c r="A161" s="55" t="str">
        <x:v>9-1</x:v>
      </x:c>
      <x:c r="B161" s="55" t="str">
        <x:v>Phase 9</x:v>
      </x:c>
      <x:c r="C161" s="55" t="str">
        <x:v>テスト</x:v>
      </x:c>
      <x:c r="D161" s="55" t="str">
        <x:v>予定</x:v>
      </x:c>
      <x:c r="E161" s="55" t="str">
        <x:v>計画</x:v>
      </x:c>
      <x:c r="F161" s="55" t="str">
        <x:v>テスト方針作成</x:v>
      </x:c>
      <x:c r="G161" s="55" t="str">
        <x:v>MVP全体のテスト方針を整理</x:v>
      </x:c>
      <x:c r="H161" s="55" t="str">
        <x:v>未着手</x:v>
      </x:c>
      <x:c r="I161" s="55" t="str">
        <x:v>High</x:v>
      </x:c>
      <x:c r="J161" s="55" t="str">
        <x:v>PO + AI支援</x:v>
      </x:c>
      <x:c r="K161" s="62" t="n">
        <x:v>0.5</x:v>
      </x:c>
      <x:c r="L161" s="57"/>
      <x:c r="M161" s="57"/>
      <x:c r="N161" s="57"/>
      <x:c r="O161" s="57"/>
      <x:c r="P161" s="58" t="n">
        <x:v>0</x:v>
      </x:c>
      <x:c r="Q161" s="55" t="str">
        <x:v>8-M9</x:v>
      </x:c>
      <x:c r="R161" s="55" t="str">
        <x:v>テスト仕様 / テスト結果</x:v>
      </x:c>
      <x:c r="S161" s="55" t="str">
        <x:v>MVP主要フローと異常系の品質確認完了</x:v>
      </x:c>
      <x:c r="T161" s="55"/>
      <x:c r="U161" s="55"/>
      <x:c r="V161" s="55" t="str">
        <x:v>Task</x:v>
      </x:c>
      <x:c r="W161" s="55" t="str">
        <x:v>1日=4h</x:v>
      </x:c>
    </x:row>
    <x:row r="162" ht="15" hidden="0" customHeight="1">
      <x:c r="A162" s="55" t="str">
        <x:v>9-2</x:v>
      </x:c>
      <x:c r="B162" s="55" t="str">
        <x:v>Phase 9</x:v>
      </x:c>
      <x:c r="C162" s="55" t="str">
        <x:v>テスト</x:v>
      </x:c>
      <x:c r="D162" s="55" t="str">
        <x:v>予定</x:v>
      </x:c>
      <x:c r="E162" s="55" t="str">
        <x:v>設計</x:v>
      </x:c>
      <x:c r="F162" s="55" t="str">
        <x:v>テスト観点整理</x:v>
      </x:c>
      <x:c r="G162" s="55" t="str">
        <x:v>正常・異常・境界・権限・非同期等を整理</x:v>
      </x:c>
      <x:c r="H162" s="55" t="str">
        <x:v>未着手</x:v>
      </x:c>
      <x:c r="I162" s="55" t="str">
        <x:v>High</x:v>
      </x:c>
      <x:c r="J162" s="55" t="str">
        <x:v>PO + AI支援</x:v>
      </x:c>
      <x:c r="K162" s="62" t="n">
        <x:v>1</x:v>
      </x:c>
      <x:c r="L162" s="57"/>
      <x:c r="M162" s="57"/>
      <x:c r="N162" s="57"/>
      <x:c r="O162" s="57"/>
      <x:c r="P162" s="58" t="n">
        <x:v>0</x:v>
      </x:c>
      <x:c r="Q162" s="55" t="str">
        <x:v>9-1</x:v>
      </x:c>
      <x:c r="R162" s="55" t="str">
        <x:v>テスト仕様 / テスト結果</x:v>
      </x:c>
      <x:c r="S162" s="55" t="str">
        <x:v>MVP主要フローと異常系の品質確認完了</x:v>
      </x:c>
      <x:c r="T162" s="55"/>
      <x:c r="U162" s="55"/>
      <x:c r="V162" s="55" t="str">
        <x:v>Task</x:v>
      </x:c>
      <x:c r="W162" s="55" t="str">
        <x:v>1日=4h</x:v>
      </x:c>
    </x:row>
    <x:row r="163" ht="15" hidden="0" customHeight="1">
      <x:c r="A163" s="55" t="str">
        <x:v>9-3</x:v>
      </x:c>
      <x:c r="B163" s="55" t="str">
        <x:v>Phase 9</x:v>
      </x:c>
      <x:c r="C163" s="55" t="str">
        <x:v>テスト</x:v>
      </x:c>
      <x:c r="D163" s="55" t="str">
        <x:v>予定</x:v>
      </x:c>
      <x:c r="E163" s="55" t="str">
        <x:v>単体</x:v>
      </x:c>
      <x:c r="F163" s="55" t="str">
        <x:v>単体テスト不足補完</x:v>
      </x:c>
      <x:c r="G163" s="55" t="str">
        <x:v>実装時テストの不足を補完</x:v>
      </x:c>
      <x:c r="H163" s="55" t="str">
        <x:v>未着手</x:v>
      </x:c>
      <x:c r="I163" s="55" t="str">
        <x:v>High</x:v>
      </x:c>
      <x:c r="J163" s="55" t="str">
        <x:v>PO + AI支援</x:v>
      </x:c>
      <x:c r="K163" s="62" t="n">
        <x:v>2.5</x:v>
      </x:c>
      <x:c r="L163" s="57"/>
      <x:c r="M163" s="57"/>
      <x:c r="N163" s="57"/>
      <x:c r="O163" s="57"/>
      <x:c r="P163" s="58" t="n">
        <x:v>0</x:v>
      </x:c>
      <x:c r="Q163" s="55" t="str">
        <x:v>9-2</x:v>
      </x:c>
      <x:c r="R163" s="55" t="str">
        <x:v>テスト仕様 / テスト結果</x:v>
      </x:c>
      <x:c r="S163" s="55" t="str">
        <x:v>MVP主要フローと異常系の品質確認完了</x:v>
      </x:c>
      <x:c r="T163" s="55"/>
      <x:c r="U163" s="55"/>
      <x:c r="V163" s="55" t="str">
        <x:v>Task</x:v>
      </x:c>
      <x:c r="W163" s="55" t="str">
        <x:v>1日=4h</x:v>
      </x:c>
    </x:row>
    <x:row r="164" ht="15" hidden="0" customHeight="1">
      <x:c r="A164" s="55" t="str">
        <x:v>9-4</x:v>
      </x:c>
      <x:c r="B164" s="55" t="str">
        <x:v>Phase 9</x:v>
      </x:c>
      <x:c r="C164" s="55" t="str">
        <x:v>テスト</x:v>
      </x:c>
      <x:c r="D164" s="55" t="str">
        <x:v>予定</x:v>
      </x:c>
      <x:c r="E164" s="55" t="str">
        <x:v>結合</x:v>
      </x:c>
      <x:c r="F164" s="55" t="str">
        <x:v>API結合テスト</x:v>
      </x:c>
      <x:c r="G164" s="55" t="str">
        <x:v>API間・DB連携を確認</x:v>
      </x:c>
      <x:c r="H164" s="55" t="str">
        <x:v>未着手</x:v>
      </x:c>
      <x:c r="I164" s="55" t="str">
        <x:v>High</x:v>
      </x:c>
      <x:c r="J164" s="55" t="str">
        <x:v>PO + AI支援</x:v>
      </x:c>
      <x:c r="K164" s="62" t="n">
        <x:v>1.5</x:v>
      </x:c>
      <x:c r="L164" s="57"/>
      <x:c r="M164" s="57"/>
      <x:c r="N164" s="57"/>
      <x:c r="O164" s="57"/>
      <x:c r="P164" s="58" t="n">
        <x:v>0</x:v>
      </x:c>
      <x:c r="Q164" s="55" t="str">
        <x:v>9-3</x:v>
      </x:c>
      <x:c r="R164" s="55" t="str">
        <x:v>テスト仕様 / テスト結果</x:v>
      </x:c>
      <x:c r="S164" s="55" t="str">
        <x:v>MVP主要フローと異常系の品質確認完了</x:v>
      </x:c>
      <x:c r="T164" s="55"/>
      <x:c r="U164" s="55"/>
      <x:c r="V164" s="55" t="str">
        <x:v>Task</x:v>
      </x:c>
      <x:c r="W164" s="55" t="str">
        <x:v>1日=4h</x:v>
      </x:c>
    </x:row>
    <x:row r="165" ht="15" hidden="0" customHeight="1">
      <x:c r="A165" s="55" t="str">
        <x:v>9-5</x:v>
      </x:c>
      <x:c r="B165" s="55" t="str">
        <x:v>Phase 9</x:v>
      </x:c>
      <x:c r="C165" s="55" t="str">
        <x:v>テスト</x:v>
      </x:c>
      <x:c r="D165" s="55" t="str">
        <x:v>予定</x:v>
      </x:c>
      <x:c r="E165" s="55" t="str">
        <x:v>DB</x:v>
      </x:c>
      <x:c r="F165" s="55" t="str">
        <x:v>DB整合性テスト</x:v>
      </x:c>
      <x:c r="G165" s="55" t="str">
        <x:v>制約・Transaction・削除等を確認</x:v>
      </x:c>
      <x:c r="H165" s="55" t="str">
        <x:v>未着手</x:v>
      </x:c>
      <x:c r="I165" s="55" t="str">
        <x:v>High</x:v>
      </x:c>
      <x:c r="J165" s="55" t="str">
        <x:v>PO + AI支援</x:v>
      </x:c>
      <x:c r="K165" s="62" t="n">
        <x:v>1</x:v>
      </x:c>
      <x:c r="L165" s="57"/>
      <x:c r="M165" s="57"/>
      <x:c r="N165" s="57"/>
      <x:c r="O165" s="57"/>
      <x:c r="P165" s="58" t="n">
        <x:v>0</x:v>
      </x:c>
      <x:c r="Q165" s="55" t="str">
        <x:v>9-4</x:v>
      </x:c>
      <x:c r="R165" s="55" t="str">
        <x:v>テスト仕様 / テスト結果</x:v>
      </x:c>
      <x:c r="S165" s="55" t="str">
        <x:v>MVP主要フローと異常系の品質確認完了</x:v>
      </x:c>
      <x:c r="T165" s="55"/>
      <x:c r="U165" s="55"/>
      <x:c r="V165" s="55" t="str">
        <x:v>Task</x:v>
      </x:c>
      <x:c r="W165" s="55" t="str">
        <x:v>1日=4h</x:v>
      </x:c>
    </x:row>
    <x:row r="166" ht="15" hidden="0" customHeight="1">
      <x:c r="A166" s="55" t="str">
        <x:v>9-6</x:v>
      </x:c>
      <x:c r="B166" s="55" t="str">
        <x:v>Phase 9</x:v>
      </x:c>
      <x:c r="C166" s="55" t="str">
        <x:v>テスト</x:v>
      </x:c>
      <x:c r="D166" s="55" t="str">
        <x:v>予定</x:v>
      </x:c>
      <x:c r="E166" s="55" t="str">
        <x:v>AI</x:v>
      </x:c>
      <x:c r="F166" s="55" t="str">
        <x:v>AI正常系テスト</x:v>
      </x:c>
      <x:c r="G166" s="55" t="str">
        <x:v>初回整理・再整理・採用を確認</x:v>
      </x:c>
      <x:c r="H166" s="55" t="str">
        <x:v>未着手</x:v>
      </x:c>
      <x:c r="I166" s="55" t="str">
        <x:v>High</x:v>
      </x:c>
      <x:c r="J166" s="55" t="str">
        <x:v>PO + AI支援</x:v>
      </x:c>
      <x:c r="K166" s="62" t="n">
        <x:v>1</x:v>
      </x:c>
      <x:c r="L166" s="57"/>
      <x:c r="M166" s="57"/>
      <x:c r="N166" s="57"/>
      <x:c r="O166" s="57"/>
      <x:c r="P166" s="58" t="n">
        <x:v>0</x:v>
      </x:c>
      <x:c r="Q166" s="55" t="str">
        <x:v>9-5</x:v>
      </x:c>
      <x:c r="R166" s="55" t="str">
        <x:v>テスト仕様 / テスト結果</x:v>
      </x:c>
      <x:c r="S166" s="55" t="str">
        <x:v>MVP主要フローと異常系の品質確認完了</x:v>
      </x:c>
      <x:c r="T166" s="55"/>
      <x:c r="U166" s="55"/>
      <x:c r="V166" s="55" t="str">
        <x:v>Task</x:v>
      </x:c>
      <x:c r="W166" s="55" t="str">
        <x:v>1日=4h</x:v>
      </x:c>
    </x:row>
    <x:row r="167" ht="15" hidden="0" customHeight="1">
      <x:c r="A167" s="55" t="str">
        <x:v>9-7</x:v>
      </x:c>
      <x:c r="B167" s="55" t="str">
        <x:v>Phase 9</x:v>
      </x:c>
      <x:c r="C167" s="55" t="str">
        <x:v>テスト</x:v>
      </x:c>
      <x:c r="D167" s="55" t="str">
        <x:v>予定</x:v>
      </x:c>
      <x:c r="E167" s="55" t="str">
        <x:v>AI</x:v>
      </x:c>
      <x:c r="F167" s="55" t="str">
        <x:v>AI異常系テスト</x:v>
      </x:c>
      <x:c r="G167" s="55" t="str">
        <x:v>Timeout/4xx/5xx/不正Response等を確認</x:v>
      </x:c>
      <x:c r="H167" s="55" t="str">
        <x:v>未着手</x:v>
      </x:c>
      <x:c r="I167" s="55" t="str">
        <x:v>High</x:v>
      </x:c>
      <x:c r="J167" s="55" t="str">
        <x:v>PO + AI支援</x:v>
      </x:c>
      <x:c r="K167" s="62" t="n">
        <x:v>1</x:v>
      </x:c>
      <x:c r="L167" s="57"/>
      <x:c r="M167" s="57"/>
      <x:c r="N167" s="57"/>
      <x:c r="O167" s="57"/>
      <x:c r="P167" s="58" t="n">
        <x:v>0</x:v>
      </x:c>
      <x:c r="Q167" s="55" t="str">
        <x:v>9-6</x:v>
      </x:c>
      <x:c r="R167" s="55" t="str">
        <x:v>テスト仕様 / テスト結果</x:v>
      </x:c>
      <x:c r="S167" s="55" t="str">
        <x:v>MVP主要フローと異常系の品質確認完了</x:v>
      </x:c>
      <x:c r="T167" s="55"/>
      <x:c r="U167" s="55"/>
      <x:c r="V167" s="55" t="str">
        <x:v>Task</x:v>
      </x:c>
      <x:c r="W167" s="55" t="str">
        <x:v>1日=4h</x:v>
      </x:c>
    </x:row>
    <x:row r="168" ht="15" hidden="0" customHeight="1">
      <x:c r="A168" s="55" t="str">
        <x:v>9-8</x:v>
      </x:c>
      <x:c r="B168" s="55" t="str">
        <x:v>Phase 9</x:v>
      </x:c>
      <x:c r="C168" s="55" t="str">
        <x:v>テスト</x:v>
      </x:c>
      <x:c r="D168" s="55" t="str">
        <x:v>予定</x:v>
      </x:c>
      <x:c r="E168" s="55" t="str">
        <x:v>競合</x:v>
      </x:c>
      <x:c r="F168" s="55" t="str">
        <x:v>競合・非同期テスト</x:v>
      </x:c>
      <x:c r="G168" s="55" t="str">
        <x:v>削除競合・処理中編集等を確認</x:v>
      </x:c>
      <x:c r="H168" s="55" t="str">
        <x:v>未着手</x:v>
      </x:c>
      <x:c r="I168" s="55" t="str">
        <x:v>High</x:v>
      </x:c>
      <x:c r="J168" s="55" t="str">
        <x:v>PO + AI支援</x:v>
      </x:c>
      <x:c r="K168" s="62" t="n">
        <x:v>1.5</x:v>
      </x:c>
      <x:c r="L168" s="57"/>
      <x:c r="M168" s="57"/>
      <x:c r="N168" s="57"/>
      <x:c r="O168" s="57"/>
      <x:c r="P168" s="58" t="n">
        <x:v>0</x:v>
      </x:c>
      <x:c r="Q168" s="55" t="str">
        <x:v>9-7</x:v>
      </x:c>
      <x:c r="R168" s="55" t="str">
        <x:v>テスト仕様 / テスト結果</x:v>
      </x:c>
      <x:c r="S168" s="55" t="str">
        <x:v>MVP主要フローと異常系の品質確認完了</x:v>
      </x:c>
      <x:c r="T168" s="55"/>
      <x:c r="U168" s="55"/>
      <x:c r="V168" s="55" t="str">
        <x:v>Task</x:v>
      </x:c>
      <x:c r="W168" s="55" t="str">
        <x:v>1日=4h</x:v>
      </x:c>
    </x:row>
    <x:row r="169" ht="15" hidden="0" customHeight="1">
      <x:c r="A169" s="55" t="str">
        <x:v>9-9</x:v>
      </x:c>
      <x:c r="B169" s="55" t="str">
        <x:v>Phase 9</x:v>
      </x:c>
      <x:c r="C169" s="55" t="str">
        <x:v>テスト</x:v>
      </x:c>
      <x:c r="D169" s="55" t="str">
        <x:v>予定</x:v>
      </x:c>
      <x:c r="E169" s="55" t="str">
        <x:v>E2E</x:v>
      </x:c>
      <x:c r="F169" s="55" t="str">
        <x:v>UI/E2Eテスト</x:v>
      </x:c>
      <x:c r="G169" s="55" t="str">
        <x:v>主要ユーザーフローを確認</x:v>
      </x:c>
      <x:c r="H169" s="55" t="str">
        <x:v>未着手</x:v>
      </x:c>
      <x:c r="I169" s="55" t="str">
        <x:v>High</x:v>
      </x:c>
      <x:c r="J169" s="55" t="str">
        <x:v>PO + AI支援</x:v>
      </x:c>
      <x:c r="K169" s="62" t="n">
        <x:v>1.5</x:v>
      </x:c>
      <x:c r="L169" s="57"/>
      <x:c r="M169" s="57"/>
      <x:c r="N169" s="57"/>
      <x:c r="O169" s="57"/>
      <x:c r="P169" s="58" t="n">
        <x:v>0</x:v>
      </x:c>
      <x:c r="Q169" s="55" t="str">
        <x:v>9-8</x:v>
      </x:c>
      <x:c r="R169" s="55" t="str">
        <x:v>テスト仕様 / テスト結果</x:v>
      </x:c>
      <x:c r="S169" s="55" t="str">
        <x:v>MVP主要フローと異常系の品質確認完了</x:v>
      </x:c>
      <x:c r="T169" s="55"/>
      <x:c r="U169" s="55"/>
      <x:c r="V169" s="55" t="str">
        <x:v>Task</x:v>
      </x:c>
      <x:c r="W169" s="55" t="str">
        <x:v>1日=4h</x:v>
      </x:c>
    </x:row>
    <x:row r="170" ht="15" hidden="0" customHeight="1">
      <x:c r="A170" s="55" t="str">
        <x:v>9-10</x:v>
      </x:c>
      <x:c r="B170" s="55" t="str">
        <x:v>Phase 9</x:v>
      </x:c>
      <x:c r="C170" s="55" t="str">
        <x:v>テスト</x:v>
      </x:c>
      <x:c r="D170" s="55" t="str">
        <x:v>予定</x:v>
      </x:c>
      <x:c r="E170" s="55" t="str">
        <x:v>不具合</x:v>
      </x:c>
      <x:c r="F170" s="55" t="str">
        <x:v>不具合修正・再テスト</x:v>
      </x:c>
      <x:c r="G170" s="55" t="str">
        <x:v>検出不具合を修正して再確認</x:v>
      </x:c>
      <x:c r="H170" s="55" t="str">
        <x:v>未着手</x:v>
      </x:c>
      <x:c r="I170" s="55" t="str">
        <x:v>High</x:v>
      </x:c>
      <x:c r="J170" s="55" t="str">
        <x:v>PO + AI支援</x:v>
      </x:c>
      <x:c r="K170" s="62" t="n">
        <x:v>2.5</x:v>
      </x:c>
      <x:c r="L170" s="57"/>
      <x:c r="M170" s="57"/>
      <x:c r="N170" s="57"/>
      <x:c r="O170" s="57"/>
      <x:c r="P170" s="58" t="n">
        <x:v>0</x:v>
      </x:c>
      <x:c r="Q170" s="55" t="str">
        <x:v>9-9</x:v>
      </x:c>
      <x:c r="R170" s="55" t="str">
        <x:v>テスト仕様 / テスト結果</x:v>
      </x:c>
      <x:c r="S170" s="55" t="str">
        <x:v>MVP主要フローと異常系の品質確認完了</x:v>
      </x:c>
      <x:c r="T170" s="55"/>
      <x:c r="U170" s="55"/>
      <x:c r="V170" s="55" t="str">
        <x:v>Task</x:v>
      </x:c>
      <x:c r="W170" s="55" t="str">
        <x:v>1日=4h</x:v>
      </x:c>
    </x:row>
    <x:row r="171" ht="15" hidden="0" customHeight="1">
      <x:c r="A171" s="55" t="str">
        <x:v>9-11</x:v>
      </x:c>
      <x:c r="B171" s="55" t="str">
        <x:v>Phase 9</x:v>
      </x:c>
      <x:c r="C171" s="55" t="str">
        <x:v>テスト</x:v>
      </x:c>
      <x:c r="D171" s="55" t="str">
        <x:v>予定</x:v>
      </x:c>
      <x:c r="E171" s="55" t="str">
        <x:v>記録</x:v>
      </x:c>
      <x:c r="F171" s="55" t="str">
        <x:v>テスト結果整理</x:v>
      </x:c>
      <x:c r="G171" s="55" t="str">
        <x:v>結果・残課題を文書化</x:v>
      </x:c>
      <x:c r="H171" s="55" t="str">
        <x:v>未着手</x:v>
      </x:c>
      <x:c r="I171" s="55" t="str">
        <x:v>High</x:v>
      </x:c>
      <x:c r="J171" s="55" t="str">
        <x:v>PO + AI支援</x:v>
      </x:c>
      <x:c r="K171" s="62" t="n">
        <x:v>0.5</x:v>
      </x:c>
      <x:c r="L171" s="57"/>
      <x:c r="M171" s="57"/>
      <x:c r="N171" s="57"/>
      <x:c r="O171" s="57"/>
      <x:c r="P171" s="58" t="n">
        <x:v>0</x:v>
      </x:c>
      <x:c r="Q171" s="55" t="str">
        <x:v>9-10</x:v>
      </x:c>
      <x:c r="R171" s="55" t="str">
        <x:v>テスト仕様 / テスト結果</x:v>
      </x:c>
      <x:c r="S171" s="55" t="str">
        <x:v>MVP主要フローと異常系の品質確認完了</x:v>
      </x:c>
      <x:c r="T171" s="55"/>
      <x:c r="U171" s="55"/>
      <x:c r="V171" s="55" t="str">
        <x:v>Task</x:v>
      </x:c>
      <x:c r="W171" s="55" t="str">
        <x:v>1日=4h</x:v>
      </x:c>
    </x:row>
    <x:row r="172" ht="15" hidden="0" customHeight="1">
      <x:c r="A172" s="55" t="str">
        <x:v>10-1</x:v>
      </x:c>
      <x:c r="B172" s="55" t="str">
        <x:v>Phase 10</x:v>
      </x:c>
      <x:c r="C172" s="55" t="str">
        <x:v>CI/CD</x:v>
      </x:c>
      <x:c r="D172" s="55" t="str">
        <x:v>予定</x:v>
      </x:c>
      <x:c r="E172" s="55" t="str">
        <x:v>設計</x:v>
      </x:c>
      <x:c r="F172" s="55" t="str">
        <x:v>CI/CD要件整理</x:v>
      </x:c>
      <x:c r="G172" s="55" t="str">
        <x:v>自動化対象と実行契機を整理</x:v>
      </x:c>
      <x:c r="H172" s="55" t="str">
        <x:v>未着手</x:v>
      </x:c>
      <x:c r="I172" s="55" t="str">
        <x:v>High</x:v>
      </x:c>
      <x:c r="J172" s="55" t="str">
        <x:v>PO + AI支援</x:v>
      </x:c>
      <x:c r="K172" s="62" t="n">
        <x:v>0.5</x:v>
      </x:c>
      <x:c r="L172" s="57"/>
      <x:c r="M172" s="57"/>
      <x:c r="N172" s="57"/>
      <x:c r="O172" s="57"/>
      <x:c r="P172" s="58" t="n">
        <x:v>0</x:v>
      </x:c>
      <x:c r="Q172" s="55" t="str">
        <x:v>9-11</x:v>
      </x:c>
      <x:c r="R172" s="55" t="str">
        <x:v>.github/workflows / CI/CDドキュメント</x:v>
      </x:c>
      <x:c r="S172" s="55" t="str">
        <x:v>Build/Test自動化が安定稼働</x:v>
      </x:c>
      <x:c r="T172" s="55"/>
      <x:c r="U172" s="55"/>
      <x:c r="V172" s="55" t="str">
        <x:v>Task</x:v>
      </x:c>
      <x:c r="W172" s="55" t="str">
        <x:v>1日=4h</x:v>
      </x:c>
    </x:row>
    <x:row r="173" ht="15" hidden="0" customHeight="1">
      <x:c r="A173" s="55" t="str">
        <x:v>10-2</x:v>
      </x:c>
      <x:c r="B173" s="55" t="str">
        <x:v>Phase 10</x:v>
      </x:c>
      <x:c r="C173" s="55" t="str">
        <x:v>CI/CD</x:v>
      </x:c>
      <x:c r="D173" s="55" t="str">
        <x:v>予定</x:v>
      </x:c>
      <x:c r="E173" s="55" t="str">
        <x:v>設計</x:v>
      </x:c>
      <x:c r="F173" s="55" t="str">
        <x:v>GitHub Actions設計</x:v>
      </x:c>
      <x:c r="G173" s="55" t="str">
        <x:v>Workflow構成を設計</x:v>
      </x:c>
      <x:c r="H173" s="55" t="str">
        <x:v>未着手</x:v>
      </x:c>
      <x:c r="I173" s="55" t="str">
        <x:v>High</x:v>
      </x:c>
      <x:c r="J173" s="55" t="str">
        <x:v>PO + AI支援</x:v>
      </x:c>
      <x:c r="K173" s="62" t="n">
        <x:v>0.5</x:v>
      </x:c>
      <x:c r="L173" s="57"/>
      <x:c r="M173" s="57"/>
      <x:c r="N173" s="57"/>
      <x:c r="O173" s="57"/>
      <x:c r="P173" s="58" t="n">
        <x:v>0</x:v>
      </x:c>
      <x:c r="Q173" s="55" t="str">
        <x:v>10-1</x:v>
      </x:c>
      <x:c r="R173" s="55" t="str">
        <x:v>.github/workflows / CI/CDドキュメント</x:v>
      </x:c>
      <x:c r="S173" s="55" t="str">
        <x:v>Build/Test自動化が安定稼働</x:v>
      </x:c>
      <x:c r="T173" s="55"/>
      <x:c r="U173" s="55"/>
      <x:c r="V173" s="55" t="str">
        <x:v>Task</x:v>
      </x:c>
      <x:c r="W173" s="55" t="str">
        <x:v>1日=4h</x:v>
      </x:c>
    </x:row>
    <x:row r="174" ht="15" hidden="0" customHeight="1">
      <x:c r="A174" s="55" t="str">
        <x:v>10-3</x:v>
      </x:c>
      <x:c r="B174" s="55" t="str">
        <x:v>Phase 10</x:v>
      </x:c>
      <x:c r="C174" s="55" t="str">
        <x:v>CI/CD</x:v>
      </x:c>
      <x:c r="D174" s="55" t="str">
        <x:v>予定</x:v>
      </x:c>
      <x:c r="E174" s="55" t="str">
        <x:v>CI</x:v>
      </x:c>
      <x:c r="F174" s="55" t="str">
        <x:v>Build自動化</x:v>
      </x:c>
      <x:c r="G174" s="55" t="str">
        <x:v>Maven Buildを自動化</x:v>
      </x:c>
      <x:c r="H174" s="55" t="str">
        <x:v>未着手</x:v>
      </x:c>
      <x:c r="I174" s="55" t="str">
        <x:v>High</x:v>
      </x:c>
      <x:c r="J174" s="55" t="str">
        <x:v>PO + AI支援</x:v>
      </x:c>
      <x:c r="K174" s="62" t="n">
        <x:v>0.5</x:v>
      </x:c>
      <x:c r="L174" s="57"/>
      <x:c r="M174" s="57"/>
      <x:c r="N174" s="57"/>
      <x:c r="O174" s="57"/>
      <x:c r="P174" s="58" t="n">
        <x:v>0</x:v>
      </x:c>
      <x:c r="Q174" s="55" t="str">
        <x:v>10-2</x:v>
      </x:c>
      <x:c r="R174" s="55" t="str">
        <x:v>.github/workflows / CI/CDドキュメント</x:v>
      </x:c>
      <x:c r="S174" s="55" t="str">
        <x:v>Build/Test自動化が安定稼働</x:v>
      </x:c>
      <x:c r="T174" s="55"/>
      <x:c r="U174" s="55"/>
      <x:c r="V174" s="55" t="str">
        <x:v>Task</x:v>
      </x:c>
      <x:c r="W174" s="55" t="str">
        <x:v>1日=4h</x:v>
      </x:c>
    </x:row>
    <x:row r="175" ht="15" hidden="0" customHeight="1">
      <x:c r="A175" s="55" t="str">
        <x:v>10-4</x:v>
      </x:c>
      <x:c r="B175" s="55" t="str">
        <x:v>Phase 10</x:v>
      </x:c>
      <x:c r="C175" s="55" t="str">
        <x:v>CI/CD</x:v>
      </x:c>
      <x:c r="D175" s="55" t="str">
        <x:v>予定</x:v>
      </x:c>
      <x:c r="E175" s="55" t="str">
        <x:v>CI</x:v>
      </x:c>
      <x:c r="F175" s="55" t="str">
        <x:v>Test自動化</x:v>
      </x:c>
      <x:c r="G175" s="55" t="str">
        <x:v>自動テスト実行を組み込む</x:v>
      </x:c>
      <x:c r="H175" s="55" t="str">
        <x:v>未着手</x:v>
      </x:c>
      <x:c r="I175" s="55" t="str">
        <x:v>High</x:v>
      </x:c>
      <x:c r="J175" s="55" t="str">
        <x:v>PO + AI支援</x:v>
      </x:c>
      <x:c r="K175" s="62" t="n">
        <x:v>0.5</x:v>
      </x:c>
      <x:c r="L175" s="57"/>
      <x:c r="M175" s="57"/>
      <x:c r="N175" s="57"/>
      <x:c r="O175" s="57"/>
      <x:c r="P175" s="58" t="n">
        <x:v>0</x:v>
      </x:c>
      <x:c r="Q175" s="55" t="str">
        <x:v>10-3</x:v>
      </x:c>
      <x:c r="R175" s="55" t="str">
        <x:v>.github/workflows / CI/CDドキュメント</x:v>
      </x:c>
      <x:c r="S175" s="55" t="str">
        <x:v>Build/Test自動化が安定稼働</x:v>
      </x:c>
      <x:c r="T175" s="55"/>
      <x:c r="U175" s="55"/>
      <x:c r="V175" s="55" t="str">
        <x:v>Task</x:v>
      </x:c>
      <x:c r="W175" s="55" t="str">
        <x:v>1日=4h</x:v>
      </x:c>
    </x:row>
    <x:row r="176" ht="15" hidden="0" customHeight="1">
      <x:c r="A176" s="55" t="str">
        <x:v>10-5</x:v>
      </x:c>
      <x:c r="B176" s="55" t="str">
        <x:v>Phase 10</x:v>
      </x:c>
      <x:c r="C176" s="55" t="str">
        <x:v>CI/CD</x:v>
      </x:c>
      <x:c r="D176" s="55" t="str">
        <x:v>予定</x:v>
      </x:c>
      <x:c r="E176" s="55" t="str">
        <x:v>CI</x:v>
      </x:c>
      <x:c r="F176" s="55" t="str">
        <x:v>PR時CI実行</x:v>
      </x:c>
      <x:c r="G176" s="55" t="str">
        <x:v>Pull RequestでCIが動くようにする</x:v>
      </x:c>
      <x:c r="H176" s="55" t="str">
        <x:v>未着手</x:v>
      </x:c>
      <x:c r="I176" s="55" t="str">
        <x:v>High</x:v>
      </x:c>
      <x:c r="J176" s="55" t="str">
        <x:v>PO + AI支援</x:v>
      </x:c>
      <x:c r="K176" s="62" t="n">
        <x:v>0.5</x:v>
      </x:c>
      <x:c r="L176" s="57"/>
      <x:c r="M176" s="57"/>
      <x:c r="N176" s="57"/>
      <x:c r="O176" s="57"/>
      <x:c r="P176" s="58" t="n">
        <x:v>0</x:v>
      </x:c>
      <x:c r="Q176" s="55" t="str">
        <x:v>10-4</x:v>
      </x:c>
      <x:c r="R176" s="55" t="str">
        <x:v>.github/workflows / CI/CDドキュメント</x:v>
      </x:c>
      <x:c r="S176" s="55" t="str">
        <x:v>Build/Test自動化が安定稼働</x:v>
      </x:c>
      <x:c r="T176" s="55"/>
      <x:c r="U176" s="55"/>
      <x:c r="V176" s="55" t="str">
        <x:v>Task</x:v>
      </x:c>
      <x:c r="W176" s="55" t="str">
        <x:v>1日=4h</x:v>
      </x:c>
    </x:row>
    <x:row r="177" ht="15" hidden="0" customHeight="1">
      <x:c r="A177" s="55" t="str">
        <x:v>10-6</x:v>
      </x:c>
      <x:c r="B177" s="55" t="str">
        <x:v>Phase 10</x:v>
      </x:c>
      <x:c r="C177" s="55" t="str">
        <x:v>CI/CD</x:v>
      </x:c>
      <x:c r="D177" s="55" t="str">
        <x:v>予定</x:v>
      </x:c>
      <x:c r="E177" s="55" t="str">
        <x:v>検証</x:v>
      </x:c>
      <x:c r="F177" s="55" t="str">
        <x:v>CI失敗確認</x:v>
      </x:c>
      <x:c r="G177" s="55" t="str">
        <x:v>失敗ケース・ログ確認を実施</x:v>
      </x:c>
      <x:c r="H177" s="55" t="str">
        <x:v>未着手</x:v>
      </x:c>
      <x:c r="I177" s="55" t="str">
        <x:v>High</x:v>
      </x:c>
      <x:c r="J177" s="55" t="str">
        <x:v>PO + AI支援</x:v>
      </x:c>
      <x:c r="K177" s="62" t="n">
        <x:v>0.5</x:v>
      </x:c>
      <x:c r="L177" s="57"/>
      <x:c r="M177" s="57"/>
      <x:c r="N177" s="57"/>
      <x:c r="O177" s="57"/>
      <x:c r="P177" s="58" t="n">
        <x:v>0</x:v>
      </x:c>
      <x:c r="Q177" s="55" t="str">
        <x:v>10-5</x:v>
      </x:c>
      <x:c r="R177" s="55" t="str">
        <x:v>.github/workflows / CI/CDドキュメント</x:v>
      </x:c>
      <x:c r="S177" s="55" t="str">
        <x:v>Build/Test自動化が安定稼働</x:v>
      </x:c>
      <x:c r="T177" s="55"/>
      <x:c r="U177" s="55"/>
      <x:c r="V177" s="55" t="str">
        <x:v>Task</x:v>
      </x:c>
      <x:c r="W177" s="55" t="str">
        <x:v>1日=4h</x:v>
      </x:c>
    </x:row>
    <x:row r="178" ht="15" hidden="0" customHeight="1">
      <x:c r="A178" s="55" t="str">
        <x:v>10-7</x:v>
      </x:c>
      <x:c r="B178" s="55" t="str">
        <x:v>Phase 10</x:v>
      </x:c>
      <x:c r="C178" s="55" t="str">
        <x:v>CI/CD</x:v>
      </x:c>
      <x:c r="D178" s="55" t="str">
        <x:v>予定</x:v>
      </x:c>
      <x:c r="E178" s="55" t="str">
        <x:v>CD</x:v>
      </x:c>
      <x:c r="F178" s="55" t="str">
        <x:v>Deployment連携準備</x:v>
      </x:c>
      <x:c r="G178" s="55" t="str">
        <x:v>AWSデプロイへの接続準備</x:v>
      </x:c>
      <x:c r="H178" s="55" t="str">
        <x:v>未着手</x:v>
      </x:c>
      <x:c r="I178" s="55" t="str">
        <x:v>High</x:v>
      </x:c>
      <x:c r="J178" s="55" t="str">
        <x:v>PO + AI支援</x:v>
      </x:c>
      <x:c r="K178" s="62" t="n">
        <x:v>1</x:v>
      </x:c>
      <x:c r="L178" s="57"/>
      <x:c r="M178" s="57"/>
      <x:c r="N178" s="57"/>
      <x:c r="O178" s="57"/>
      <x:c r="P178" s="58" t="n">
        <x:v>0</x:v>
      </x:c>
      <x:c r="Q178" s="55" t="str">
        <x:v>10-6</x:v>
      </x:c>
      <x:c r="R178" s="55" t="str">
        <x:v>.github/workflows / CI/CDドキュメント</x:v>
      </x:c>
      <x:c r="S178" s="55" t="str">
        <x:v>Build/Test自動化が安定稼働</x:v>
      </x:c>
      <x:c r="T178" s="55"/>
      <x:c r="U178" s="55"/>
      <x:c r="V178" s="55" t="str">
        <x:v>Task</x:v>
      </x:c>
      <x:c r="W178" s="55" t="str">
        <x:v>1日=4h</x:v>
      </x:c>
    </x:row>
    <x:row r="179" ht="15" hidden="0" customHeight="1">
      <x:c r="A179" s="55" t="str">
        <x:v>10-8</x:v>
      </x:c>
      <x:c r="B179" s="55" t="str">
        <x:v>Phase 10</x:v>
      </x:c>
      <x:c r="C179" s="55" t="str">
        <x:v>CI/CD</x:v>
      </x:c>
      <x:c r="D179" s="55" t="str">
        <x:v>予定</x:v>
      </x:c>
      <x:c r="E179" s="55" t="str">
        <x:v>文書化</x:v>
      </x:c>
      <x:c r="F179" s="55" t="str">
        <x:v>CI/CDドキュメント</x:v>
      </x:c>
      <x:c r="G179" s="55" t="str">
        <x:v>構成・運用方法を記録</x:v>
      </x:c>
      <x:c r="H179" s="55" t="str">
        <x:v>未着手</x:v>
      </x:c>
      <x:c r="I179" s="55" t="str">
        <x:v>High</x:v>
      </x:c>
      <x:c r="J179" s="55" t="str">
        <x:v>PO + AI支援</x:v>
      </x:c>
      <x:c r="K179" s="62" t="n">
        <x:v>0.5</x:v>
      </x:c>
      <x:c r="L179" s="57"/>
      <x:c r="M179" s="57"/>
      <x:c r="N179" s="57"/>
      <x:c r="O179" s="57"/>
      <x:c r="P179" s="58" t="n">
        <x:v>0</x:v>
      </x:c>
      <x:c r="Q179" s="55" t="str">
        <x:v>10-7</x:v>
      </x:c>
      <x:c r="R179" s="55" t="str">
        <x:v>.github/workflows / CI/CDドキュメント</x:v>
      </x:c>
      <x:c r="S179" s="55" t="str">
        <x:v>Build/Test自動化が安定稼働</x:v>
      </x:c>
      <x:c r="T179" s="55"/>
      <x:c r="U179" s="55"/>
      <x:c r="V179" s="55" t="str">
        <x:v>Task</x:v>
      </x:c>
      <x:c r="W179" s="55" t="str">
        <x:v>1日=4h</x:v>
      </x:c>
    </x:row>
    <x:row r="180" ht="15" hidden="0" customHeight="1">
      <x:c r="A180" s="55" t="str">
        <x:v>11-1</x:v>
      </x:c>
      <x:c r="B180" s="55" t="str">
        <x:v>Phase 11</x:v>
      </x:c>
      <x:c r="C180" s="55" t="str">
        <x:v>AWSデプロイ</x:v>
      </x:c>
      <x:c r="D180" s="55" t="str">
        <x:v>予定</x:v>
      </x:c>
      <x:c r="E180" s="55" t="str">
        <x:v>設計</x:v>
      </x:c>
      <x:c r="F180" s="55" t="str">
        <x:v>AWS構成最終確認</x:v>
      </x:c>
      <x:c r="G180" s="55" t="str">
        <x:v>MVPのAWS構成を最終確認</x:v>
      </x:c>
      <x:c r="H180" s="55" t="str">
        <x:v>未着手</x:v>
      </x:c>
      <x:c r="I180" s="55" t="str">
        <x:v>High</x:v>
      </x:c>
      <x:c r="J180" s="55" t="str">
        <x:v>PO + AI支援</x:v>
      </x:c>
      <x:c r="K180" s="62" t="n">
        <x:v>1</x:v>
      </x:c>
      <x:c r="L180" s="57"/>
      <x:c r="M180" s="57"/>
      <x:c r="N180" s="57"/>
      <x:c r="O180" s="57"/>
      <x:c r="P180" s="58" t="n">
        <x:v>0</x:v>
      </x:c>
      <x:c r="Q180" s="55" t="str">
        <x:v>10-8</x:v>
      </x:c>
      <x:c r="R180" s="55" t="str">
        <x:v>AWS環境 / デプロイ記録</x:v>
      </x:c>
      <x:c r="S180" s="55" t="str">
        <x:v>本番相当環境でMVPが動作</x:v>
      </x:c>
      <x:c r="T180" s="55"/>
      <x:c r="U180" s="55"/>
      <x:c r="V180" s="55" t="str">
        <x:v>Task</x:v>
      </x:c>
      <x:c r="W180" s="55" t="str">
        <x:v>1日=4h</x:v>
      </x:c>
    </x:row>
    <x:row r="181" ht="15" hidden="0" customHeight="1">
      <x:c r="A181" s="55" t="str">
        <x:v>11-2</x:v>
      </x:c>
      <x:c r="B181" s="55" t="str">
        <x:v>Phase 11</x:v>
      </x:c>
      <x:c r="C181" s="55" t="str">
        <x:v>AWSデプロイ</x:v>
      </x:c>
      <x:c r="D181" s="55" t="str">
        <x:v>予定</x:v>
      </x:c>
      <x:c r="E181" s="55" t="str">
        <x:v>構築</x:v>
      </x:c>
      <x:c r="F181" s="55" t="str">
        <x:v>AWS環境構築</x:v>
      </x:c>
      <x:c r="G181" s="55" t="str">
        <x:v>必要なAWSリソースを構築</x:v>
      </x:c>
      <x:c r="H181" s="55" t="str">
        <x:v>未着手</x:v>
      </x:c>
      <x:c r="I181" s="55" t="str">
        <x:v>High</x:v>
      </x:c>
      <x:c r="J181" s="55" t="str">
        <x:v>PO + AI支援</x:v>
      </x:c>
      <x:c r="K181" s="62" t="n">
        <x:v>2</x:v>
      </x:c>
      <x:c r="L181" s="57"/>
      <x:c r="M181" s="57"/>
      <x:c r="N181" s="57"/>
      <x:c r="O181" s="57"/>
      <x:c r="P181" s="58" t="n">
        <x:v>0</x:v>
      </x:c>
      <x:c r="Q181" s="55" t="str">
        <x:v>11-1</x:v>
      </x:c>
      <x:c r="R181" s="55" t="str">
        <x:v>AWS環境 / デプロイ記録</x:v>
      </x:c>
      <x:c r="S181" s="55" t="str">
        <x:v>本番相当環境でMVPが動作</x:v>
      </x:c>
      <x:c r="T181" s="55"/>
      <x:c r="U181" s="55"/>
      <x:c r="V181" s="55" t="str">
        <x:v>Task</x:v>
      </x:c>
      <x:c r="W181" s="55" t="str">
        <x:v>1日=4h</x:v>
      </x:c>
    </x:row>
    <x:row r="182" ht="15" hidden="0" customHeight="1">
      <x:c r="A182" s="55" t="str">
        <x:v>11-3</x:v>
      </x:c>
      <x:c r="B182" s="55" t="str">
        <x:v>Phase 11</x:v>
      </x:c>
      <x:c r="C182" s="55" t="str">
        <x:v>AWSデプロイ</x:v>
      </x:c>
      <x:c r="D182" s="55" t="str">
        <x:v>予定</x:v>
      </x:c>
      <x:c r="E182" s="55" t="str">
        <x:v>DB</x:v>
      </x:c>
      <x:c r="F182" s="55" t="str">
        <x:v>DB配置</x:v>
      </x:c>
      <x:c r="G182" s="55" t="str">
        <x:v>DBをAWS環境へ配置・接続</x:v>
      </x:c>
      <x:c r="H182" s="55" t="str">
        <x:v>未着手</x:v>
      </x:c>
      <x:c r="I182" s="55" t="str">
        <x:v>High</x:v>
      </x:c>
      <x:c r="J182" s="55" t="str">
        <x:v>PO + AI支援</x:v>
      </x:c>
      <x:c r="K182" s="62" t="n">
        <x:v>1</x:v>
      </x:c>
      <x:c r="L182" s="57"/>
      <x:c r="M182" s="57"/>
      <x:c r="N182" s="57"/>
      <x:c r="O182" s="57"/>
      <x:c r="P182" s="58" t="n">
        <x:v>0</x:v>
      </x:c>
      <x:c r="Q182" s="55" t="str">
        <x:v>11-2</x:v>
      </x:c>
      <x:c r="R182" s="55" t="str">
        <x:v>AWS環境 / デプロイ記録</x:v>
      </x:c>
      <x:c r="S182" s="55" t="str">
        <x:v>本番相当環境でMVPが動作</x:v>
      </x:c>
      <x:c r="T182" s="55"/>
      <x:c r="U182" s="55"/>
      <x:c r="V182" s="55" t="str">
        <x:v>Task</x:v>
      </x:c>
      <x:c r="W182" s="55" t="str">
        <x:v>1日=4h</x:v>
      </x:c>
    </x:row>
    <x:row r="183" ht="15" hidden="0" customHeight="1">
      <x:c r="A183" s="55" t="str">
        <x:v>11-4</x:v>
      </x:c>
      <x:c r="B183" s="55" t="str">
        <x:v>Phase 11</x:v>
      </x:c>
      <x:c r="C183" s="55" t="str">
        <x:v>AWSデプロイ</x:v>
      </x:c>
      <x:c r="D183" s="55" t="str">
        <x:v>予定</x:v>
      </x:c>
      <x:c r="E183" s="55" t="str">
        <x:v>Backend</x:v>
      </x:c>
      <x:c r="F183" s="55" t="str">
        <x:v>Backendデプロイ</x:v>
      </x:c>
      <x:c r="G183" s="55" t="str">
        <x:v>Spring Bootをデプロイ</x:v>
      </x:c>
      <x:c r="H183" s="55" t="str">
        <x:v>未着手</x:v>
      </x:c>
      <x:c r="I183" s="55" t="str">
        <x:v>High</x:v>
      </x:c>
      <x:c r="J183" s="55" t="str">
        <x:v>PO + AI支援</x:v>
      </x:c>
      <x:c r="K183" s="62" t="n">
        <x:v>1</x:v>
      </x:c>
      <x:c r="L183" s="57"/>
      <x:c r="M183" s="57"/>
      <x:c r="N183" s="57"/>
      <x:c r="O183" s="57"/>
      <x:c r="P183" s="58" t="n">
        <x:v>0</x:v>
      </x:c>
      <x:c r="Q183" s="55" t="str">
        <x:v>11-3</x:v>
      </x:c>
      <x:c r="R183" s="55" t="str">
        <x:v>AWS環境 / デプロイ記録</x:v>
      </x:c>
      <x:c r="S183" s="55" t="str">
        <x:v>本番相当環境でMVPが動作</x:v>
      </x:c>
      <x:c r="T183" s="55"/>
      <x:c r="U183" s="55"/>
      <x:c r="V183" s="55" t="str">
        <x:v>Task</x:v>
      </x:c>
      <x:c r="W183" s="55" t="str">
        <x:v>1日=4h</x:v>
      </x:c>
    </x:row>
    <x:row r="184" ht="15" hidden="0" customHeight="1">
      <x:c r="A184" s="55" t="str">
        <x:v>11-5</x:v>
      </x:c>
      <x:c r="B184" s="55" t="str">
        <x:v>Phase 11</x:v>
      </x:c>
      <x:c r="C184" s="55" t="str">
        <x:v>AWSデプロイ</x:v>
      </x:c>
      <x:c r="D184" s="55" t="str">
        <x:v>予定</x:v>
      </x:c>
      <x:c r="E184" s="55" t="str">
        <x:v>AI</x:v>
      </x:c>
      <x:c r="F184" s="55" t="str">
        <x:v>AI Serviceデプロイ</x:v>
      </x:c>
      <x:c r="G184" s="55" t="str">
        <x:v>AI Serviceをデプロイ</x:v>
      </x:c>
      <x:c r="H184" s="55" t="str">
        <x:v>未着手</x:v>
      </x:c>
      <x:c r="I184" s="55" t="str">
        <x:v>High</x:v>
      </x:c>
      <x:c r="J184" s="55" t="str">
        <x:v>PO + AI支援</x:v>
      </x:c>
      <x:c r="K184" s="62" t="n">
        <x:v>1</x:v>
      </x:c>
      <x:c r="L184" s="57"/>
      <x:c r="M184" s="57"/>
      <x:c r="N184" s="57"/>
      <x:c r="O184" s="57"/>
      <x:c r="P184" s="58" t="n">
        <x:v>0</x:v>
      </x:c>
      <x:c r="Q184" s="55" t="str">
        <x:v>11-4</x:v>
      </x:c>
      <x:c r="R184" s="55" t="str">
        <x:v>AWS環境 / デプロイ記録</x:v>
      </x:c>
      <x:c r="S184" s="55" t="str">
        <x:v>本番相当環境でMVPが動作</x:v>
      </x:c>
      <x:c r="T184" s="55"/>
      <x:c r="U184" s="55"/>
      <x:c r="V184" s="55" t="str">
        <x:v>Task</x:v>
      </x:c>
      <x:c r="W184" s="55" t="str">
        <x:v>1日=4h</x:v>
      </x:c>
    </x:row>
    <x:row r="185" ht="15" hidden="0" customHeight="1">
      <x:c r="A185" s="55" t="str">
        <x:v>11-6</x:v>
      </x:c>
      <x:c r="B185" s="55" t="str">
        <x:v>Phase 11</x:v>
      </x:c>
      <x:c r="C185" s="55" t="str">
        <x:v>AWSデプロイ</x:v>
      </x:c>
      <x:c r="D185" s="55" t="str">
        <x:v>予定</x:v>
      </x:c>
      <x:c r="E185" s="55" t="str">
        <x:v>設定</x:v>
      </x:c>
      <x:c r="F185" s="55" t="str">
        <x:v>Secrets / 環境変数設定</x:v>
      </x:c>
      <x:c r="G185" s="55" t="str">
        <x:v>秘密情報・設定値を安全に設定</x:v>
      </x:c>
      <x:c r="H185" s="55" t="str">
        <x:v>未着手</x:v>
      </x:c>
      <x:c r="I185" s="55" t="str">
        <x:v>High</x:v>
      </x:c>
      <x:c r="J185" s="55" t="str">
        <x:v>PO + AI支援</x:v>
      </x:c>
      <x:c r="K185" s="62" t="n">
        <x:v>0.5</x:v>
      </x:c>
      <x:c r="L185" s="57"/>
      <x:c r="M185" s="57"/>
      <x:c r="N185" s="57"/>
      <x:c r="O185" s="57"/>
      <x:c r="P185" s="58" t="n">
        <x:v>0</x:v>
      </x:c>
      <x:c r="Q185" s="55" t="str">
        <x:v>11-5</x:v>
      </x:c>
      <x:c r="R185" s="55" t="str">
        <x:v>AWS環境 / デプロイ記録</x:v>
      </x:c>
      <x:c r="S185" s="55" t="str">
        <x:v>本番相当環境でMVPが動作</x:v>
      </x:c>
      <x:c r="T185" s="55"/>
      <x:c r="U185" s="55"/>
      <x:c r="V185" s="55" t="str">
        <x:v>Task</x:v>
      </x:c>
      <x:c r="W185" s="55" t="str">
        <x:v>1日=4h</x:v>
      </x:c>
    </x:row>
    <x:row r="186" ht="15" hidden="0" customHeight="1">
      <x:c r="A186" s="55" t="str">
        <x:v>11-7</x:v>
      </x:c>
      <x:c r="B186" s="55" t="str">
        <x:v>Phase 11</x:v>
      </x:c>
      <x:c r="C186" s="55" t="str">
        <x:v>AWSデプロイ</x:v>
      </x:c>
      <x:c r="D186" s="55" t="str">
        <x:v>予定</x:v>
      </x:c>
      <x:c r="E186" s="55" t="str">
        <x:v>NW</x:v>
      </x:c>
      <x:c r="F186" s="55" t="str">
        <x:v>ネットワーク・アクセス確認</x:v>
      </x:c>
      <x:c r="G186" s="55" t="str">
        <x:v>通信経路・アクセス制御を確認</x:v>
      </x:c>
      <x:c r="H186" s="55" t="str">
        <x:v>未着手</x:v>
      </x:c>
      <x:c r="I186" s="55" t="str">
        <x:v>High</x:v>
      </x:c>
      <x:c r="J186" s="55" t="str">
        <x:v>PO + AI支援</x:v>
      </x:c>
      <x:c r="K186" s="62" t="n">
        <x:v>0.5</x:v>
      </x:c>
      <x:c r="L186" s="57"/>
      <x:c r="M186" s="57"/>
      <x:c r="N186" s="57"/>
      <x:c r="O186" s="57"/>
      <x:c r="P186" s="58" t="n">
        <x:v>0</x:v>
      </x:c>
      <x:c r="Q186" s="55" t="str">
        <x:v>11-6</x:v>
      </x:c>
      <x:c r="R186" s="55" t="str">
        <x:v>AWS環境 / デプロイ記録</x:v>
      </x:c>
      <x:c r="S186" s="55" t="str">
        <x:v>本番相当環境でMVPが動作</x:v>
      </x:c>
      <x:c r="T186" s="55"/>
      <x:c r="U186" s="55"/>
      <x:c r="V186" s="55" t="str">
        <x:v>Task</x:v>
      </x:c>
      <x:c r="W186" s="55" t="str">
        <x:v>1日=4h</x:v>
      </x:c>
    </x:row>
    <x:row r="187" ht="15" hidden="0" customHeight="1">
      <x:c r="A187" s="55" t="str">
        <x:v>11-8</x:v>
      </x:c>
      <x:c r="B187" s="55" t="str">
        <x:v>Phase 11</x:v>
      </x:c>
      <x:c r="C187" s="55" t="str">
        <x:v>AWSデプロイ</x:v>
      </x:c>
      <x:c r="D187" s="55" t="str">
        <x:v>予定</x:v>
      </x:c>
      <x:c r="E187" s="55" t="str">
        <x:v>検証</x:v>
      </x:c>
      <x:c r="F187" s="55" t="str">
        <x:v>本番相当動作確認</x:v>
      </x:c>
      <x:c r="G187" s="55" t="str">
        <x:v>デプロイ環境でE2E確認</x:v>
      </x:c>
      <x:c r="H187" s="55" t="str">
        <x:v>未着手</x:v>
      </x:c>
      <x:c r="I187" s="55" t="str">
        <x:v>High</x:v>
      </x:c>
      <x:c r="J187" s="55" t="str">
        <x:v>PO + AI支援</x:v>
      </x:c>
      <x:c r="K187" s="62" t="n">
        <x:v>1</x:v>
      </x:c>
      <x:c r="L187" s="57"/>
      <x:c r="M187" s="57"/>
      <x:c r="N187" s="57"/>
      <x:c r="O187" s="57"/>
      <x:c r="P187" s="58" t="n">
        <x:v>0</x:v>
      </x:c>
      <x:c r="Q187" s="55" t="str">
        <x:v>11-7</x:v>
      </x:c>
      <x:c r="R187" s="55" t="str">
        <x:v>AWS環境 / デプロイ記録</x:v>
      </x:c>
      <x:c r="S187" s="55" t="str">
        <x:v>本番相当環境でMVPが動作</x:v>
      </x:c>
      <x:c r="T187" s="55"/>
      <x:c r="U187" s="55"/>
      <x:c r="V187" s="55" t="str">
        <x:v>Task</x:v>
      </x:c>
      <x:c r="W187" s="55" t="str">
        <x:v>1日=4h</x:v>
      </x:c>
    </x:row>
    <x:row r="188" ht="15" hidden="0" customHeight="1">
      <x:c r="A188" s="55" t="str">
        <x:v>11-9</x:v>
      </x:c>
      <x:c r="B188" s="55" t="str">
        <x:v>Phase 11</x:v>
      </x:c>
      <x:c r="C188" s="55" t="str">
        <x:v>AWSデプロイ</x:v>
      </x:c>
      <x:c r="D188" s="55" t="str">
        <x:v>予定</x:v>
      </x:c>
      <x:c r="E188" s="55" t="str">
        <x:v>監視</x:v>
      </x:c>
      <x:c r="F188" s="55" t="str">
        <x:v>ログ・監視確認</x:v>
      </x:c>
      <x:c r="G188" s="55" t="str">
        <x:v>障害調査に必要なログを確認</x:v>
      </x:c>
      <x:c r="H188" s="55" t="str">
        <x:v>未着手</x:v>
      </x:c>
      <x:c r="I188" s="55" t="str">
        <x:v>High</x:v>
      </x:c>
      <x:c r="J188" s="55" t="str">
        <x:v>PO + AI支援</x:v>
      </x:c>
      <x:c r="K188" s="62" t="n">
        <x:v>0.5</x:v>
      </x:c>
      <x:c r="L188" s="57"/>
      <x:c r="M188" s="57"/>
      <x:c r="N188" s="57"/>
      <x:c r="O188" s="57"/>
      <x:c r="P188" s="58" t="n">
        <x:v>0</x:v>
      </x:c>
      <x:c r="Q188" s="55" t="str">
        <x:v>11-8</x:v>
      </x:c>
      <x:c r="R188" s="55" t="str">
        <x:v>AWS環境 / デプロイ記録</x:v>
      </x:c>
      <x:c r="S188" s="55" t="str">
        <x:v>本番相当環境でMVPが動作</x:v>
      </x:c>
      <x:c r="T188" s="55"/>
      <x:c r="U188" s="55"/>
      <x:c r="V188" s="55" t="str">
        <x:v>Task</x:v>
      </x:c>
      <x:c r="W188" s="55" t="str">
        <x:v>1日=4h</x:v>
      </x:c>
    </x:row>
    <x:row r="189" ht="15" hidden="0" customHeight="1">
      <x:c r="A189" s="55" t="str">
        <x:v>12-1</x:v>
      </x:c>
      <x:c r="B189" s="55" t="str">
        <x:v>Phase 12</x:v>
      </x:c>
      <x:c r="C189" s="55" t="str">
        <x:v>MVPリリース</x:v>
      </x:c>
      <x:c r="D189" s="55" t="str">
        <x:v>予定</x:v>
      </x:c>
      <x:c r="E189" s="55" t="str">
        <x:v>判定</x:v>
      </x:c>
      <x:c r="F189" s="55" t="str">
        <x:v>リリースチェックリスト作成</x:v>
      </x:c>
      <x:c r="G189" s="55" t="str">
        <x:v>リリース条件を一覧化</x:v>
      </x:c>
      <x:c r="H189" s="55" t="str">
        <x:v>未着手</x:v>
      </x:c>
      <x:c r="I189" s="55" t="str">
        <x:v>High</x:v>
      </x:c>
      <x:c r="J189" s="55" t="str">
        <x:v>PO + AI支援</x:v>
      </x:c>
      <x:c r="K189" s="62" t="n">
        <x:v>0.5</x:v>
      </x:c>
      <x:c r="L189" s="57"/>
      <x:c r="M189" s="57"/>
      <x:c r="N189" s="57"/>
      <x:c r="O189" s="57"/>
      <x:c r="P189" s="58" t="n">
        <x:v>0</x:v>
      </x:c>
      <x:c r="Q189" s="55" t="str">
        <x:v>11-9</x:v>
      </x:c>
      <x:c r="R189" s="55" t="str">
        <x:v>Release Checklist / README / MVP</x:v>
      </x:c>
      <x:c r="S189" s="55" t="str">
        <x:v>POがリリース承認</x:v>
      </x:c>
      <x:c r="T189" s="55"/>
      <x:c r="U189" s="55"/>
      <x:c r="V189" s="55" t="str">
        <x:v>Task</x:v>
      </x:c>
      <x:c r="W189" s="55" t="str">
        <x:v>1日=4h</x:v>
      </x:c>
    </x:row>
    <x:row r="190" ht="15" hidden="0" customHeight="1">
      <x:c r="A190" s="55" t="str">
        <x:v>12-2</x:v>
      </x:c>
      <x:c r="B190" s="55" t="str">
        <x:v>Phase 12</x:v>
      </x:c>
      <x:c r="C190" s="55" t="str">
        <x:v>MVPリリース</x:v>
      </x:c>
      <x:c r="D190" s="55" t="str">
        <x:v>予定</x:v>
      </x:c>
      <x:c r="E190" s="55" t="str">
        <x:v>要件</x:v>
      </x:c>
      <x:c r="F190" s="55" t="str">
        <x:v>要件充足確認</x:v>
      </x:c>
      <x:c r="G190" s="55" t="str">
        <x:v>MVP要件を満たしているか確認</x:v>
      </x:c>
      <x:c r="H190" s="55" t="str">
        <x:v>未着手</x:v>
      </x:c>
      <x:c r="I190" s="55" t="str">
        <x:v>High</x:v>
      </x:c>
      <x:c r="J190" s="55" t="str">
        <x:v>PO + AI支援</x:v>
      </x:c>
      <x:c r="K190" s="62" t="n">
        <x:v>0.5</x:v>
      </x:c>
      <x:c r="L190" s="57"/>
      <x:c r="M190" s="57"/>
      <x:c r="N190" s="57"/>
      <x:c r="O190" s="57"/>
      <x:c r="P190" s="58" t="n">
        <x:v>0</x:v>
      </x:c>
      <x:c r="Q190" s="55" t="str">
        <x:v>12-1</x:v>
      </x:c>
      <x:c r="R190" s="55" t="str">
        <x:v>Release Checklist / README / MVP</x:v>
      </x:c>
      <x:c r="S190" s="55" t="str">
        <x:v>POがリリース承認</x:v>
      </x:c>
      <x:c r="T190" s="55"/>
      <x:c r="U190" s="55"/>
      <x:c r="V190" s="55" t="str">
        <x:v>Task</x:v>
      </x:c>
      <x:c r="W190" s="55" t="str">
        <x:v>1日=4h</x:v>
      </x:c>
    </x:row>
    <x:row r="191" ht="15" hidden="0" customHeight="1">
      <x:c r="A191" s="55" t="str">
        <x:v>12-3</x:v>
      </x:c>
      <x:c r="B191" s="55" t="str">
        <x:v>Phase 12</x:v>
      </x:c>
      <x:c r="C191" s="55" t="str">
        <x:v>MVPリリース</x:v>
      </x:c>
      <x:c r="D191" s="55" t="str">
        <x:v>予定</x:v>
      </x:c>
      <x:c r="E191" s="55" t="str">
        <x:v>課題</x:v>
      </x:c>
      <x:c r="F191" s="55" t="str">
        <x:v>Critical / High課題確認</x:v>
      </x:c>
      <x:c r="G191" s="55" t="str">
        <x:v>未解決重大課題がないか確認</x:v>
      </x:c>
      <x:c r="H191" s="55" t="str">
        <x:v>未着手</x:v>
      </x:c>
      <x:c r="I191" s="55" t="str">
        <x:v>High</x:v>
      </x:c>
      <x:c r="J191" s="55" t="str">
        <x:v>PO + AI支援</x:v>
      </x:c>
      <x:c r="K191" s="62" t="n">
        <x:v>0.5</x:v>
      </x:c>
      <x:c r="L191" s="57"/>
      <x:c r="M191" s="57"/>
      <x:c r="N191" s="57"/>
      <x:c r="O191" s="57"/>
      <x:c r="P191" s="58" t="n">
        <x:v>0</x:v>
      </x:c>
      <x:c r="Q191" s="55" t="str">
        <x:v>12-2</x:v>
      </x:c>
      <x:c r="R191" s="55" t="str">
        <x:v>Release Checklist / README / MVP</x:v>
      </x:c>
      <x:c r="S191" s="55" t="str">
        <x:v>POがリリース承認</x:v>
      </x:c>
      <x:c r="T191" s="55"/>
      <x:c r="U191" s="55"/>
      <x:c r="V191" s="55" t="str">
        <x:v>Task</x:v>
      </x:c>
      <x:c r="W191" s="55" t="str">
        <x:v>1日=4h</x:v>
      </x:c>
    </x:row>
    <x:row r="192" ht="15" hidden="0" customHeight="1">
      <x:c r="A192" s="55" t="str">
        <x:v>12-4</x:v>
      </x:c>
      <x:c r="B192" s="55" t="str">
        <x:v>Phase 12</x:v>
      </x:c>
      <x:c r="C192" s="55" t="str">
        <x:v>MVPリリース</x:v>
      </x:c>
      <x:c r="D192" s="55" t="str">
        <x:v>予定</x:v>
      </x:c>
      <x:c r="E192" s="55" t="str">
        <x:v>Security</x:v>
      </x:c>
      <x:c r="F192" s="55" t="str">
        <x:v>セキュリティ確認</x:v>
      </x:c>
      <x:c r="G192" s="55" t="str">
        <x:v>認証・Secrets・アクセス制御等を確認</x:v>
      </x:c>
      <x:c r="H192" s="55" t="str">
        <x:v>未着手</x:v>
      </x:c>
      <x:c r="I192" s="55" t="str">
        <x:v>High</x:v>
      </x:c>
      <x:c r="J192" s="55" t="str">
        <x:v>PO + AI支援</x:v>
      </x:c>
      <x:c r="K192" s="62" t="n">
        <x:v>0.5</x:v>
      </x:c>
      <x:c r="L192" s="57"/>
      <x:c r="M192" s="57"/>
      <x:c r="N192" s="57"/>
      <x:c r="O192" s="57"/>
      <x:c r="P192" s="58" t="n">
        <x:v>0</x:v>
      </x:c>
      <x:c r="Q192" s="55" t="str">
        <x:v>12-3</x:v>
      </x:c>
      <x:c r="R192" s="55" t="str">
        <x:v>Release Checklist / README / MVP</x:v>
      </x:c>
      <x:c r="S192" s="55" t="str">
        <x:v>POがリリース承認</x:v>
      </x:c>
      <x:c r="T192" s="55"/>
      <x:c r="U192" s="55"/>
      <x:c r="V192" s="55" t="str">
        <x:v>Task</x:v>
      </x:c>
      <x:c r="W192" s="55" t="str">
        <x:v>1日=4h</x:v>
      </x:c>
    </x:row>
    <x:row r="193" ht="15" hidden="0" customHeight="1">
      <x:c r="A193" s="55" t="str">
        <x:v>12-5</x:v>
      </x:c>
      <x:c r="B193" s="55" t="str">
        <x:v>Phase 12</x:v>
      </x:c>
      <x:c r="C193" s="55" t="str">
        <x:v>MVPリリース</x:v>
      </x:c>
      <x:c r="D193" s="55" t="str">
        <x:v>予定</x:v>
      </x:c>
      <x:c r="E193" s="55" t="str">
        <x:v>Docs</x:v>
      </x:c>
      <x:c r="F193" s="55" t="str">
        <x:v>README整備</x:v>
      </x:c>
      <x:c r="G193" s="55" t="str">
        <x:v>概要・構成・起動方法・技術選定等を整理</x:v>
      </x:c>
      <x:c r="H193" s="55" t="str">
        <x:v>未着手</x:v>
      </x:c>
      <x:c r="I193" s="55" t="str">
        <x:v>High</x:v>
      </x:c>
      <x:c r="J193" s="55" t="str">
        <x:v>PO + AI支援</x:v>
      </x:c>
      <x:c r="K193" s="62" t="n">
        <x:v>1</x:v>
      </x:c>
      <x:c r="L193" s="57"/>
      <x:c r="M193" s="57"/>
      <x:c r="N193" s="57"/>
      <x:c r="O193" s="57"/>
      <x:c r="P193" s="58" t="n">
        <x:v>0</x:v>
      </x:c>
      <x:c r="Q193" s="55" t="str">
        <x:v>12-4</x:v>
      </x:c>
      <x:c r="R193" s="55" t="str">
        <x:v>Release Checklist / README / MVP</x:v>
      </x:c>
      <x:c r="S193" s="55" t="str">
        <x:v>POがリリース承認</x:v>
      </x:c>
      <x:c r="T193" s="55"/>
      <x:c r="U193" s="55"/>
      <x:c r="V193" s="55" t="str">
        <x:v>Task</x:v>
      </x:c>
      <x:c r="W193" s="55" t="str">
        <x:v>1日=4h</x:v>
      </x:c>
    </x:row>
    <x:row r="194" ht="15" hidden="0" customHeight="1">
      <x:c r="A194" s="55" t="str">
        <x:v>12-6</x:v>
      </x:c>
      <x:c r="B194" s="55" t="str">
        <x:v>Phase 12</x:v>
      </x:c>
      <x:c r="C194" s="55" t="str">
        <x:v>MVPリリース</x:v>
      </x:c>
      <x:c r="D194" s="55" t="str">
        <x:v>予定</x:v>
      </x:c>
      <x:c r="E194" s="55" t="str">
        <x:v>Docs</x:v>
      </x:c>
      <x:c r="F194" s="55" t="str">
        <x:v>利用方法整理</x:v>
      </x:c>
      <x:c r="G194" s="55" t="str">
        <x:v>MVP利用手順を整理</x:v>
      </x:c>
      <x:c r="H194" s="55" t="str">
        <x:v>未着手</x:v>
      </x:c>
      <x:c r="I194" s="55" t="str">
        <x:v>High</x:v>
      </x:c>
      <x:c r="J194" s="55" t="str">
        <x:v>PO + AI支援</x:v>
      </x:c>
      <x:c r="K194" s="62" t="n">
        <x:v>0.5</x:v>
      </x:c>
      <x:c r="L194" s="57"/>
      <x:c r="M194" s="57"/>
      <x:c r="N194" s="57"/>
      <x:c r="O194" s="57"/>
      <x:c r="P194" s="58" t="n">
        <x:v>0</x:v>
      </x:c>
      <x:c r="Q194" s="55" t="str">
        <x:v>12-5</x:v>
      </x:c>
      <x:c r="R194" s="55" t="str">
        <x:v>Release Checklist / README / MVP</x:v>
      </x:c>
      <x:c r="S194" s="55" t="str">
        <x:v>POがリリース承認</x:v>
      </x:c>
      <x:c r="T194" s="55"/>
      <x:c r="U194" s="55"/>
      <x:c r="V194" s="55" t="str">
        <x:v>Task</x:v>
      </x:c>
      <x:c r="W194" s="55" t="str">
        <x:v>1日=4h</x:v>
      </x:c>
    </x:row>
    <x:row r="195" ht="15" hidden="0" customHeight="1">
      <x:c r="A195" s="55" t="str">
        <x:v>12-7</x:v>
      </x:c>
      <x:c r="B195" s="55" t="str">
        <x:v>Phase 12</x:v>
      </x:c>
      <x:c r="C195" s="55" t="str">
        <x:v>MVPリリース</x:v>
      </x:c>
      <x:c r="D195" s="55" t="str">
        <x:v>予定</x:v>
      </x:c>
      <x:c r="E195" s="55" t="str">
        <x:v>Review</x:v>
      </x:c>
      <x:c r="F195" s="55" t="str">
        <x:v>最終レビュー</x:v>
      </x:c>
      <x:c r="G195" s="55" t="str">
        <x:v>複数観点でRelease Reviewを実施</x:v>
      </x:c>
      <x:c r="H195" s="55" t="str">
        <x:v>未着手</x:v>
      </x:c>
      <x:c r="I195" s="55" t="str">
        <x:v>High</x:v>
      </x:c>
      <x:c r="J195" s="55" t="str">
        <x:v>PO + AI支援</x:v>
      </x:c>
      <x:c r="K195" s="62" t="n">
        <x:v>0.5</x:v>
      </x:c>
      <x:c r="L195" s="57"/>
      <x:c r="M195" s="57"/>
      <x:c r="N195" s="57"/>
      <x:c r="O195" s="57"/>
      <x:c r="P195" s="58" t="n">
        <x:v>0</x:v>
      </x:c>
      <x:c r="Q195" s="55" t="str">
        <x:v>12-6</x:v>
      </x:c>
      <x:c r="R195" s="55" t="str">
        <x:v>Release Checklist / README / MVP</x:v>
      </x:c>
      <x:c r="S195" s="55" t="str">
        <x:v>POがリリース承認</x:v>
      </x:c>
      <x:c r="T195" s="55"/>
      <x:c r="U195" s="55"/>
      <x:c r="V195" s="55" t="str">
        <x:v>Task</x:v>
      </x:c>
      <x:c r="W195" s="55" t="str">
        <x:v>1日=4h</x:v>
      </x:c>
    </x:row>
    <x:row r="196" ht="15" hidden="0" customHeight="1">
      <x:c r="A196" s="55" t="str">
        <x:v>12-8</x:v>
      </x:c>
      <x:c r="B196" s="55" t="str">
        <x:v>Phase 12</x:v>
      </x:c>
      <x:c r="C196" s="55" t="str">
        <x:v>MVPリリース</x:v>
      </x:c>
      <x:c r="D196" s="55" t="str">
        <x:v>予定</x:v>
      </x:c>
      <x:c r="E196" s="55" t="str">
        <x:v>PO</x:v>
      </x:c>
      <x:c r="F196" s="55" t="str">
        <x:v>POリリース判定</x:v>
      </x:c>
      <x:c r="G196" s="55" t="str">
        <x:v>最終意思決定者としてリリース可否を判断</x:v>
      </x:c>
      <x:c r="H196" s="55" t="str">
        <x:v>未着手</x:v>
      </x:c>
      <x:c r="I196" s="55" t="str">
        <x:v>High</x:v>
      </x:c>
      <x:c r="J196" s="55" t="str">
        <x:v>PO + AI支援</x:v>
      </x:c>
      <x:c r="K196" s="62" t="n">
        <x:v>0.5</x:v>
      </x:c>
      <x:c r="L196" s="57"/>
      <x:c r="M196" s="57"/>
      <x:c r="N196" s="57"/>
      <x:c r="O196" s="57"/>
      <x:c r="P196" s="58" t="n">
        <x:v>0</x:v>
      </x:c>
      <x:c r="Q196" s="55" t="str">
        <x:v>12-7</x:v>
      </x:c>
      <x:c r="R196" s="55" t="str">
        <x:v>Release Checklist / README / MVP</x:v>
      </x:c>
      <x:c r="S196" s="55" t="str">
        <x:v>POがリリース承認</x:v>
      </x:c>
      <x:c r="T196" s="55"/>
      <x:c r="U196" s="55"/>
      <x:c r="V196" s="55" t="str">
        <x:v>Task</x:v>
      </x:c>
      <x:c r="W196" s="55" t="str">
        <x:v>1日=4h</x:v>
      </x:c>
    </x:row>
    <x:row r="197" ht="15" hidden="0" customHeight="1">
      <x:c r="A197" s="55" t="str">
        <x:v>12-9</x:v>
      </x:c>
      <x:c r="B197" s="55" t="str">
        <x:v>Phase 12</x:v>
      </x:c>
      <x:c r="C197" s="55" t="str">
        <x:v>MVPリリース</x:v>
      </x:c>
      <x:c r="D197" s="55" t="str">
        <x:v>予定</x:v>
      </x:c>
      <x:c r="E197" s="55" t="str">
        <x:v>Release</x:v>
      </x:c>
      <x:c r="F197" s="55" t="str">
        <x:v>MVPリリース</x:v>
      </x:c>
      <x:c r="G197" s="55" t="str">
        <x:v>MVPを正式リリース</x:v>
      </x:c>
      <x:c r="H197" s="55" t="str">
        <x:v>未着手</x:v>
      </x:c>
      <x:c r="I197" s="55" t="str">
        <x:v>High</x:v>
      </x:c>
      <x:c r="J197" s="55" t="str">
        <x:v>PO + AI支援</x:v>
      </x:c>
      <x:c r="K197" s="62" t="n">
        <x:v>0</x:v>
      </x:c>
      <x:c r="L197" s="57"/>
      <x:c r="M197" s="57"/>
      <x:c r="N197" s="57"/>
      <x:c r="O197" s="57"/>
      <x:c r="P197" s="58" t="n">
        <x:v>0</x:v>
      </x:c>
      <x:c r="Q197" s="55" t="str">
        <x:v>12-8</x:v>
      </x:c>
      <x:c r="R197" s="55" t="str">
        <x:v>Release Checklist / README / MVP</x:v>
      </x:c>
      <x:c r="S197" s="55" t="str">
        <x:v>POがリリース承認</x:v>
      </x:c>
      <x:c r="T197" s="55"/>
      <x:c r="U197" s="55"/>
      <x:c r="V197" s="55" t="str">
        <x:v>Task</x:v>
      </x:c>
      <x:c r="W197" s="55" t="str">
        <x:v>—</x:v>
      </x:c>
    </x:row>
    <x:row r="198" ht="15" hidden="0" customHeight="1">
      <x:c r="A198" s="55" t="str">
        <x:v>13-1</x:v>
      </x:c>
      <x:c r="B198" s="55" t="str">
        <x:v>Phase 13</x:v>
      </x:c>
      <x:c r="C198" s="55" t="str">
        <x:v>振り返り</x:v>
      </x:c>
      <x:c r="D198" s="55" t="str">
        <x:v>予定</x:v>
      </x:c>
      <x:c r="E198" s="55" t="str">
        <x:v>実績</x:v>
      </x:c>
      <x:c r="F198" s="55" t="str">
        <x:v>プロジェクト実績整理</x:v>
      </x:c>
      <x:c r="G198" s="55" t="str">
        <x:v>Phase 0〜12の実績を整理</x:v>
      </x:c>
      <x:c r="H198" s="55" t="str">
        <x:v>未着手</x:v>
      </x:c>
      <x:c r="I198" s="55" t="str">
        <x:v>High</x:v>
      </x:c>
      <x:c r="J198" s="55" t="str">
        <x:v>PO + AI支援</x:v>
      </x:c>
      <x:c r="K198" s="62" t="n">
        <x:v>0.5</x:v>
      </x:c>
      <x:c r="L198" s="57"/>
      <x:c r="M198" s="57"/>
      <x:c r="N198" s="57"/>
      <x:c r="O198" s="57"/>
      <x:c r="P198" s="58" t="n">
        <x:v>0</x:v>
      </x:c>
      <x:c r="Q198" s="55" t="str">
        <x:v>12-9</x:v>
      </x:c>
      <x:c r="R198" s="55" t="str">
        <x:v>振り返り資料 / Portfolio説明</x:v>
      </x:c>
      <x:c r="S198" s="55" t="str">
        <x:v>開発経験を自分の言葉で説明可能</x:v>
      </x:c>
      <x:c r="T198" s="55"/>
      <x:c r="U198" s="55"/>
      <x:c r="V198" s="55" t="str">
        <x:v>Task</x:v>
      </x:c>
      <x:c r="W198" s="55" t="str">
        <x:v>1日=4h</x:v>
      </x:c>
    </x:row>
    <x:row r="199" ht="15" hidden="0" customHeight="1">
      <x:c r="A199" s="55" t="str">
        <x:v>13-2</x:v>
      </x:c>
      <x:c r="B199" s="55" t="str">
        <x:v>Phase 13</x:v>
      </x:c>
      <x:c r="C199" s="55" t="str">
        <x:v>振り返り</x:v>
      </x:c>
      <x:c r="D199" s="55" t="str">
        <x:v>予定</x:v>
      </x:c>
      <x:c r="E199" s="55" t="str">
        <x:v>差分</x:v>
      </x:c>
      <x:c r="F199" s="55" t="str">
        <x:v>当初計画との差分整理</x:v>
      </x:c>
      <x:c r="G199" s="55" t="str">
        <x:v>計画と実績の差・理由を整理</x:v>
      </x:c>
      <x:c r="H199" s="55" t="str">
        <x:v>未着手</x:v>
      </x:c>
      <x:c r="I199" s="55" t="str">
        <x:v>High</x:v>
      </x:c>
      <x:c r="J199" s="55" t="str">
        <x:v>PO + AI支援</x:v>
      </x:c>
      <x:c r="K199" s="62" t="n">
        <x:v>0.5</x:v>
      </x:c>
      <x:c r="L199" s="57"/>
      <x:c r="M199" s="57"/>
      <x:c r="N199" s="57"/>
      <x:c r="O199" s="57"/>
      <x:c r="P199" s="58" t="n">
        <x:v>0</x:v>
      </x:c>
      <x:c r="Q199" s="55" t="str">
        <x:v>13-1</x:v>
      </x:c>
      <x:c r="R199" s="55" t="str">
        <x:v>振り返り資料 / Portfolio説明</x:v>
      </x:c>
      <x:c r="S199" s="55" t="str">
        <x:v>開発経験を自分の言葉で説明可能</x:v>
      </x:c>
      <x:c r="T199" s="55"/>
      <x:c r="U199" s="55"/>
      <x:c r="V199" s="55" t="str">
        <x:v>Task</x:v>
      </x:c>
      <x:c r="W199" s="55" t="str">
        <x:v>1日=4h</x:v>
      </x:c>
    </x:row>
    <x:row r="200" ht="15" hidden="0" customHeight="1">
      <x:c r="A200" s="55" t="str">
        <x:v>13-3</x:v>
      </x:c>
      <x:c r="B200" s="55" t="str">
        <x:v>Phase 13</x:v>
      </x:c>
      <x:c r="C200" s="55" t="str">
        <x:v>振り返り</x:v>
      </x:c>
      <x:c r="D200" s="55" t="str">
        <x:v>予定</x:v>
      </x:c>
      <x:c r="E200" s="55" t="str">
        <x:v>学習</x:v>
      </x:c>
      <x:c r="F200" s="55" t="str">
        <x:v>技術的な学び整理</x:v>
      </x:c>
      <x:c r="G200" s="55" t="str">
        <x:v>Java / Spring / DB / Docker / AWS等を整理</x:v>
      </x:c>
      <x:c r="H200" s="55" t="str">
        <x:v>未着手</x:v>
      </x:c>
      <x:c r="I200" s="55" t="str">
        <x:v>High</x:v>
      </x:c>
      <x:c r="J200" s="55" t="str">
        <x:v>PO + AI支援</x:v>
      </x:c>
      <x:c r="K200" s="62" t="n">
        <x:v>0.5</x:v>
      </x:c>
      <x:c r="L200" s="57"/>
      <x:c r="M200" s="57"/>
      <x:c r="N200" s="57"/>
      <x:c r="O200" s="57"/>
      <x:c r="P200" s="58" t="n">
        <x:v>0</x:v>
      </x:c>
      <x:c r="Q200" s="55" t="str">
        <x:v>13-2</x:v>
      </x:c>
      <x:c r="R200" s="55" t="str">
        <x:v>振り返り資料 / Portfolio説明</x:v>
      </x:c>
      <x:c r="S200" s="55" t="str">
        <x:v>開発経験を自分の言葉で説明可能</x:v>
      </x:c>
      <x:c r="T200" s="55"/>
      <x:c r="U200" s="55"/>
      <x:c r="V200" s="55" t="str">
        <x:v>Task</x:v>
      </x:c>
      <x:c r="W200" s="55" t="str">
        <x:v>1日=4h</x:v>
      </x:c>
    </x:row>
    <x:row r="201" ht="15" hidden="0" customHeight="1">
      <x:c r="A201" s="55" t="str">
        <x:v>13-4</x:v>
      </x:c>
      <x:c r="B201" s="55" t="str">
        <x:v>Phase 13</x:v>
      </x:c>
      <x:c r="C201" s="55" t="str">
        <x:v>振り返り</x:v>
      </x:c>
      <x:c r="D201" s="55" t="str">
        <x:v>予定</x:v>
      </x:c>
      <x:c r="E201" s="55" t="str">
        <x:v>判断</x:v>
      </x:c>
      <x:c r="F201" s="55" t="str">
        <x:v>設計判断整理</x:v>
      </x:c>
      <x:c r="G201" s="55" t="str">
        <x:v>採用・却下した設計判断と理由を整理</x:v>
      </x:c>
      <x:c r="H201" s="55" t="str">
        <x:v>未着手</x:v>
      </x:c>
      <x:c r="I201" s="55" t="str">
        <x:v>High</x:v>
      </x:c>
      <x:c r="J201" s="55" t="str">
        <x:v>PO + AI支援</x:v>
      </x:c>
      <x:c r="K201" s="62" t="n">
        <x:v>0.5</x:v>
      </x:c>
      <x:c r="L201" s="57"/>
      <x:c r="M201" s="57"/>
      <x:c r="N201" s="57"/>
      <x:c r="O201" s="57"/>
      <x:c r="P201" s="58" t="n">
        <x:v>0</x:v>
      </x:c>
      <x:c r="Q201" s="55" t="str">
        <x:v>13-3</x:v>
      </x:c>
      <x:c r="R201" s="55" t="str">
        <x:v>振り返り資料 / Portfolio説明</x:v>
      </x:c>
      <x:c r="S201" s="55" t="str">
        <x:v>開発経験を自分の言葉で説明可能</x:v>
      </x:c>
      <x:c r="T201" s="55"/>
      <x:c r="U201" s="55"/>
      <x:c r="V201" s="55" t="str">
        <x:v>Task</x:v>
      </x:c>
      <x:c r="W201" s="55" t="str">
        <x:v>1日=4h</x:v>
      </x:c>
    </x:row>
    <x:row r="202" ht="15" hidden="0" customHeight="1">
      <x:c r="A202" s="55" t="str">
        <x:v>13-5</x:v>
      </x:c>
      <x:c r="B202" s="55" t="str">
        <x:v>Phase 13</x:v>
      </x:c>
      <x:c r="C202" s="55" t="str">
        <x:v>振り返り</x:v>
      </x:c>
      <x:c r="D202" s="55" t="str">
        <x:v>予定</x:v>
      </x:c>
      <x:c r="E202" s="55" t="str">
        <x:v>AI</x:v>
      </x:c>
      <x:c r="F202" s="55" t="str">
        <x:v>AI活用振り返り</x:v>
      </x:c>
      <x:c r="G202" s="55" t="str">
        <x:v>有効だった使い方・改善点を整理</x:v>
      </x:c>
      <x:c r="H202" s="55" t="str">
        <x:v>未着手</x:v>
      </x:c>
      <x:c r="I202" s="55" t="str">
        <x:v>High</x:v>
      </x:c>
      <x:c r="J202" s="55" t="str">
        <x:v>PO + AI支援</x:v>
      </x:c>
      <x:c r="K202" s="62" t="n">
        <x:v>0.5</x:v>
      </x:c>
      <x:c r="L202" s="57"/>
      <x:c r="M202" s="57"/>
      <x:c r="N202" s="57"/>
      <x:c r="O202" s="57"/>
      <x:c r="P202" s="58" t="n">
        <x:v>0</x:v>
      </x:c>
      <x:c r="Q202" s="55" t="str">
        <x:v>13-4</x:v>
      </x:c>
      <x:c r="R202" s="55" t="str">
        <x:v>振り返り資料 / Portfolio説明</x:v>
      </x:c>
      <x:c r="S202" s="55" t="str">
        <x:v>開発経験を自分の言葉で説明可能</x:v>
      </x:c>
      <x:c r="T202" s="55"/>
      <x:c r="U202" s="55"/>
      <x:c r="V202" s="55" t="str">
        <x:v>Task</x:v>
      </x:c>
      <x:c r="W202" s="55" t="str">
        <x:v>1日=4h</x:v>
      </x:c>
    </x:row>
    <x:row r="203" ht="15" hidden="0" customHeight="1">
      <x:c r="A203" s="55" t="str">
        <x:v>13-6</x:v>
      </x:c>
      <x:c r="B203" s="55" t="str">
        <x:v>Phase 13</x:v>
      </x:c>
      <x:c r="C203" s="55" t="str">
        <x:v>振り返り</x:v>
      </x:c>
      <x:c r="D203" s="55" t="str">
        <x:v>予定</x:v>
      </x:c>
      <x:c r="E203" s="55" t="str">
        <x:v>障害</x:v>
      </x:c>
      <x:c r="F203" s="55" t="str">
        <x:v>トラブル振り返り</x:v>
      </x:c>
      <x:c r="G203" s="55" t="str">
        <x:v>原因・対応・再発防止を整理</x:v>
      </x:c>
      <x:c r="H203" s="55" t="str">
        <x:v>未着手</x:v>
      </x:c>
      <x:c r="I203" s="55" t="str">
        <x:v>High</x:v>
      </x:c>
      <x:c r="J203" s="55" t="str">
        <x:v>PO + AI支援</x:v>
      </x:c>
      <x:c r="K203" s="62" t="n">
        <x:v>0.5</x:v>
      </x:c>
      <x:c r="L203" s="57"/>
      <x:c r="M203" s="57"/>
      <x:c r="N203" s="57"/>
      <x:c r="O203" s="57"/>
      <x:c r="P203" s="58" t="n">
        <x:v>0</x:v>
      </x:c>
      <x:c r="Q203" s="55" t="str">
        <x:v>13-5</x:v>
      </x:c>
      <x:c r="R203" s="55" t="str">
        <x:v>振り返り資料 / Portfolio説明</x:v>
      </x:c>
      <x:c r="S203" s="55" t="str">
        <x:v>開発経験を自分の言葉で説明可能</x:v>
      </x:c>
      <x:c r="T203" s="55"/>
      <x:c r="U203" s="55"/>
      <x:c r="V203" s="55" t="str">
        <x:v>Task</x:v>
      </x:c>
      <x:c r="W203" s="55" t="str">
        <x:v>1日=4h</x:v>
      </x:c>
    </x:row>
    <x:row r="204" ht="15" hidden="0" customHeight="1">
      <x:c r="A204" s="55" t="str">
        <x:v>13-7</x:v>
      </x:c>
      <x:c r="B204" s="55" t="str">
        <x:v>Phase 13</x:v>
      </x:c>
      <x:c r="C204" s="55" t="str">
        <x:v>振り返り</x:v>
      </x:c>
      <x:c r="D204" s="55" t="str">
        <x:v>予定</x:v>
      </x:c>
      <x:c r="E204" s="55" t="str">
        <x:v>成長</x:v>
      </x:c>
      <x:c r="F204" s="55" t="str">
        <x:v>自分でできるようになったこと</x:v>
      </x:c>
      <x:c r="G204" s="55" t="str">
        <x:v>設計・実装・テスト等の成長を整理</x:v>
      </x:c>
      <x:c r="H204" s="55" t="str">
        <x:v>未着手</x:v>
      </x:c>
      <x:c r="I204" s="55" t="str">
        <x:v>High</x:v>
      </x:c>
      <x:c r="J204" s="55" t="str">
        <x:v>PO + AI支援</x:v>
      </x:c>
      <x:c r="K204" s="62" t="n">
        <x:v>0.5</x:v>
      </x:c>
      <x:c r="L204" s="57"/>
      <x:c r="M204" s="57"/>
      <x:c r="N204" s="57"/>
      <x:c r="O204" s="57"/>
      <x:c r="P204" s="58" t="n">
        <x:v>0</x:v>
      </x:c>
      <x:c r="Q204" s="55" t="str">
        <x:v>13-6</x:v>
      </x:c>
      <x:c r="R204" s="55" t="str">
        <x:v>振り返り資料 / Portfolio説明</x:v>
      </x:c>
      <x:c r="S204" s="55" t="str">
        <x:v>開発経験を自分の言葉で説明可能</x:v>
      </x:c>
      <x:c r="T204" s="55"/>
      <x:c r="U204" s="55"/>
      <x:c r="V204" s="55" t="str">
        <x:v>Task</x:v>
      </x:c>
      <x:c r="W204" s="55" t="str">
        <x:v>1日=4h</x:v>
      </x:c>
    </x:row>
    <x:row r="205" ht="15" hidden="0" customHeight="1">
      <x:c r="A205" s="55" t="str">
        <x:v>13-8</x:v>
      </x:c>
      <x:c r="B205" s="55" t="str">
        <x:v>Phase 13</x:v>
      </x:c>
      <x:c r="C205" s="55" t="str">
        <x:v>振り返り</x:v>
      </x:c>
      <x:c r="D205" s="55" t="str">
        <x:v>予定</x:v>
      </x:c>
      <x:c r="E205" s="55" t="str">
        <x:v>改善</x:v>
      </x:c>
      <x:c r="F205" s="55" t="str">
        <x:v>今後の改善点</x:v>
      </x:c>
      <x:c r="G205" s="55" t="str">
        <x:v>MVP後バックログを整理</x:v>
      </x:c>
      <x:c r="H205" s="55" t="str">
        <x:v>未着手</x:v>
      </x:c>
      <x:c r="I205" s="55" t="str">
        <x:v>High</x:v>
      </x:c>
      <x:c r="J205" s="55" t="str">
        <x:v>PO + AI支援</x:v>
      </x:c>
      <x:c r="K205" s="62" t="n">
        <x:v>0.5</x:v>
      </x:c>
      <x:c r="L205" s="57"/>
      <x:c r="M205" s="57"/>
      <x:c r="N205" s="57"/>
      <x:c r="O205" s="57"/>
      <x:c r="P205" s="58" t="n">
        <x:v>0</x:v>
      </x:c>
      <x:c r="Q205" s="55" t="str">
        <x:v>13-7</x:v>
      </x:c>
      <x:c r="R205" s="55" t="str">
        <x:v>振り返り資料 / Portfolio説明</x:v>
      </x:c>
      <x:c r="S205" s="55" t="str">
        <x:v>開発経験を自分の言葉で説明可能</x:v>
      </x:c>
      <x:c r="T205" s="55"/>
      <x:c r="U205" s="55"/>
      <x:c r="V205" s="55" t="str">
        <x:v>Task</x:v>
      </x:c>
      <x:c r="W205" s="55" t="str">
        <x:v>1日=4h</x:v>
      </x:c>
    </x:row>
    <x:row r="206" ht="15" hidden="0" customHeight="1">
      <x:c r="A206" s="55" t="str">
        <x:v>13-9</x:v>
      </x:c>
      <x:c r="B206" s="55" t="str">
        <x:v>Phase 13</x:v>
      </x:c>
      <x:c r="C206" s="55" t="str">
        <x:v>振り返り</x:v>
      </x:c>
      <x:c r="D206" s="55" t="str">
        <x:v>予定</x:v>
      </x:c>
      <x:c r="E206" s="55" t="str">
        <x:v>Portfolio</x:v>
      </x:c>
      <x:c r="F206" s="55" t="str">
        <x:v>ポートフォリオ説明整理</x:v>
      </x:c>
      <x:c r="G206" s="55" t="str">
        <x:v>面接等で説明できる形にまとめる</x:v>
      </x:c>
      <x:c r="H206" s="55" t="str">
        <x:v>未着手</x:v>
      </x:c>
      <x:c r="I206" s="55" t="str">
        <x:v>High</x:v>
      </x:c>
      <x:c r="J206" s="55" t="str">
        <x:v>PO + AI支援</x:v>
      </x:c>
      <x:c r="K206" s="62" t="n">
        <x:v>1</x:v>
      </x:c>
      <x:c r="L206" s="57"/>
      <x:c r="M206" s="57"/>
      <x:c r="N206" s="57"/>
      <x:c r="O206" s="57"/>
      <x:c r="P206" s="58" t="n">
        <x:v>0</x:v>
      </x:c>
      <x:c r="Q206" s="55" t="str">
        <x:v>13-8</x:v>
      </x:c>
      <x:c r="R206" s="55" t="str">
        <x:v>振り返り資料 / Portfolio説明</x:v>
      </x:c>
      <x:c r="S206" s="55" t="str">
        <x:v>開発経験を自分の言葉で説明可能</x:v>
      </x:c>
      <x:c r="T206" s="55"/>
      <x:c r="U206" s="55"/>
      <x:c r="V206" s="55" t="str">
        <x:v>Task</x:v>
      </x:c>
      <x:c r="W206" s="55" t="str">
        <x:v>1日=4h</x:v>
      </x:c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</x:row>
    <x:row r="223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</x:row>
    <x:row r="227">
      <x:c r="A227"/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</x:row>
    <x:row r="228">
      <x:c r="A228"/>
      <x:c r="B228"/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</x:row>
    <x:row r="229">
      <x:c r="A229"/>
      <x:c r="B229"/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</x:row>
    <x:row r="230">
      <x:c r="A230"/>
      <x:c r="B230"/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</x:row>
    <x:row r="231">
      <x:c r="A231"/>
      <x:c r="B231"/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</x:row>
    <x:row r="232">
      <x:c r="A232"/>
      <x:c r="B232"/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</x:row>
    <x:row r="233">
      <x:c r="A233"/>
      <x:c r="B233"/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</x:row>
    <x:row r="234">
      <x:c r="A234"/>
      <x:c r="B234"/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</x:row>
    <x:row r="235">
      <x:c r="A235"/>
      <x:c r="B235"/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</x:row>
    <x:row r="236">
      <x:c r="A236"/>
      <x:c r="B236"/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</x:row>
    <x:row r="237">
      <x:c r="A237"/>
      <x:c r="B237"/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</x:row>
    <x:row r="238">
      <x:c r="A238"/>
      <x:c r="B238"/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</x:row>
    <x:row r="239">
      <x:c r="A239"/>
      <x:c r="B239"/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</x:row>
    <x:row r="240">
      <x:c r="A240"/>
      <x:c r="B240"/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</x:row>
    <x:row r="241">
      <x:c r="A241"/>
      <x:c r="B241"/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</x:row>
    <x:row r="242">
      <x:c r="A242"/>
      <x:c r="B242"/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</x:row>
    <x:row r="243">
      <x:c r="A243"/>
      <x:c r="B243"/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</x:row>
    <x:row r="244">
      <x:c r="A244"/>
      <x:c r="B244"/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</x:row>
    <x:row r="245">
      <x:c r="A245"/>
      <x:c r="B245"/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</x:row>
    <x:row r="246">
      <x:c r="A246"/>
      <x:c r="B246"/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</x:row>
    <x:row r="247">
      <x:c r="A247"/>
      <x:c r="B247"/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  <x:c r="U247"/>
      <x:c r="V247"/>
      <x:c r="W247"/>
    </x:row>
    <x:row r="248">
      <x:c r="A248"/>
      <x:c r="B248"/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  <x:c r="U248"/>
      <x:c r="V248"/>
      <x:c r="W248"/>
    </x:row>
    <x:row r="249">
      <x:c r="A249"/>
      <x:c r="B249"/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</x:row>
    <x:row r="250">
      <x:c r="A250"/>
      <x:c r="B250"/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</x:row>
    <x:row r="251">
      <x:c r="A251"/>
      <x:c r="B251"/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  <x:c r="U251"/>
      <x:c r="V251"/>
      <x:c r="W251"/>
    </x:row>
    <x:row r="252">
      <x:c r="A252"/>
      <x:c r="B252"/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</x:row>
    <x:row r="253">
      <x:c r="A253"/>
      <x:c r="B253"/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</x:row>
    <x:row r="254">
      <x:c r="A254"/>
      <x:c r="B254"/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</x:row>
    <x:row r="255">
      <x:c r="A255"/>
      <x:c r="B255"/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</x:row>
    <x:row r="256">
      <x:c r="A256"/>
      <x:c r="B256"/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</x:row>
    <x:row r="257">
      <x:c r="A257"/>
      <x:c r="B257"/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</x:row>
    <x:row r="258">
      <x:c r="A258"/>
      <x:c r="B258"/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</x:row>
    <x:row r="259">
      <x:c r="A259"/>
      <x:c r="B259"/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</x:row>
  </x:sheetData>
  <x:conditionalFormatting sqref="H2:H140">
    <x:cfRule type="expression" dxfId="0" priority="1">
      <x:formula>H2="完了"</x:formula>
    </x:cfRule>
    <x:cfRule type="expression" dxfId="1" priority="2">
      <x:formula>H2="進行中"</x:formula>
    </x:cfRule>
    <x:cfRule type="expression" dxfId="2" priority="3">
      <x:formula>H2="未着手"</x:formula>
    </x:cfRule>
  </x:conditionalFormatting>
  <x:conditionalFormatting sqref="P2:P140">
    <x:cfRule type="dataBar" priority="4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{4E166BDF-4DFE-7DE1-B030-AF6EBC2324B9}</x14:id>
        </x:ext>
      </x:extLst>
    </x:cfRule>
  </x:conditionalFormatting>
  <x:conditionalFormatting sqref="P2:P206">
    <x:cfRule type="dataBar" priority="5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{FE1454F9-B3F9-8F5A-EF39-0B2762DF56FA}</x14:id>
        </x:ext>
      </x:extLst>
    </x:cfRule>
  </x:conditionalFormatting>
  <x:conditionalFormatting sqref="A2:W206">
    <x:cfRule type="expression" dxfId="3" priority="6">
      <x:formula>$V2="Milestone"</x:formula>
    </x:cfRule>
    <x:cfRule type="expression" dxfId="4" priority="7">
      <x:formula>$H2="進行中"</x:formula>
    </x:cfRule>
  </x:conditionalFormatting>
  <x:conditionalFormatting sqref="H2:H206">
    <x:cfRule type="expression" dxfId="5" priority="8">
      <x:formula>$H2="完了"</x:formula>
    </x:cfRule>
  </x:conditionalFormatting>
  <x:dataValidations count="8">
    <x:dataValidation type="list" sqref="D2:D140">
      <x:formula1>マスタ!$D$2:$D$3</x:formula1>
    </x:dataValidation>
    <x:dataValidation type="list" sqref="H2:H140">
      <x:formula1>マスタ!$A$2:$A$5</x:formula1>
    </x:dataValidation>
    <x:dataValidation type="list" sqref="I2:I140">
      <x:formula1>マスタ!$B$2:$B$4</x:formula1>
    </x:dataValidation>
    <x:dataValidation type="list" sqref="J2:J140">
      <x:formula1>マスタ!$C$2:$C$7</x:formula1>
    </x:dataValidation>
    <x:dataValidation type="list" sqref="H2:H206">
      <x:formula1>"未着手,進行中,完了,保留"</x:formula1>
    </x:dataValidation>
    <x:dataValidation type="list" sqref="I2:I206">
      <x:formula1>"High,Medium,Low"</x:formula1>
    </x:dataValidation>
    <x:dataValidation type="list" sqref="D2:D206">
      <x:formula1>"実績,予定"</x:formula1>
    </x:dataValidation>
    <x:dataValidation type="list" sqref="V2:V206">
      <x:formula1>"Task,Milestone"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abfa046a154c5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4E166BDF-4DFE-7DE1-B030-AF6EBC2324B9}">
            <x14:dataBar gradient="1">
              <x14:cfvo type="min"/>
              <x14:cfvo type="max"/>
              <x14:fillColor rgb="FF5B9BD5"/>
            </x14:dataBar>
          </x14:cfRule>
          <xm:sqref>P2:P140</xm:sqref>
        </x14:conditionalFormatting>
        <x14:conditionalFormatting>
          <x14:cfRule type="dataBar" priority="5" id="{FE1454F9-B3F9-8F5A-EF39-0B2762DF56FA}">
            <x14:dataBar gradient="1">
              <x14:cfvo type="min"/>
              <x14:cfvo type="max"/>
              <x14:fillColor rgb="FFA02B93"/>
            </x14:dataBar>
          </x14:cfRule>
          <xm:sqref>P2:P206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4" hidden="0" customWidth="1"/>
    <x:col min="4" max="4" width="18" hidden="0" customWidth="1"/>
    <x:col min="5" max="5" width="20" hidden="0" customWidth="1"/>
    <x:col min="6" max="6" width="16" hidden="0" customWidth="1"/>
  </x:cols>
  <x:sheetData>
    <x:row r="1" ht="28" hidden="0" customHeight="1">
      <x:c r="A1" s="75" t="str">
        <x:v>個人開発 WBS サマリ（v0.3）</x:v>
      </x:c>
      <x:c r="B1" s="75"/>
      <x:c r="C1" s="75"/>
      <x:c r="D1" s="75"/>
      <x:c r="E1" s="75"/>
      <x:c r="F1" s="75"/>
      <x:c r="G1" s="30"/>
      <x:c r="H1" s="30"/>
    </x:row>
    <x:row r="2" ht="15" hidden="0" customHeight="1">
      <x:c r="A2" s="71"/>
      <x:c r="B2" s="71"/>
      <x:c r="C2" s="71"/>
      <x:c r="D2" s="71"/>
      <x:c r="E2" s="71"/>
      <x:c r="F2" s="71"/>
    </x:row>
    <x:row r="3" ht="15" hidden="0" customHeight="1">
      <x:c r="A3" s="78" t="str">
        <x:v>指標</x:v>
      </x:c>
      <x:c r="B3" s="78" t="str">
        <x:v>値</x:v>
      </x:c>
      <x:c r="C3" s="78"/>
      <x:c r="D3" s="78" t="str">
        <x:v>指標</x:v>
      </x:c>
      <x:c r="E3" s="78" t="str">
        <x:v>値</x:v>
      </x:c>
      <x:c r="F3" s="78"/>
    </x:row>
    <x:row r="4" ht="15" hidden="0" customHeight="1">
      <x:c r="A4" s="80" t="str">
        <x:v>総WBS項目数</x:v>
      </x:c>
      <x:c r="B4" s="80" t="n">
        <x:f>COUNTA(WBS!$A$2:$A$206)</x:f>
        <x:v>205</x:v>
      </x:c>
      <x:c r="C4" s="71"/>
      <x:c r="D4" s="81" t="str">
        <x:v>現在Phase</x:v>
      </x:c>
      <x:c r="E4" s="81" t="str">
        <x:v>Phase 8（開始前）</x:v>
      </x:c>
      <x:c r="F4" s="71"/>
    </x:row>
    <x:row r="5" ht="15" hidden="0" customHeight="1">
      <x:c r="A5" s="80" t="str">
        <x:v>完了項目数</x:v>
      </x:c>
      <x:c r="B5" s="80" t="n">
        <x:f>COUNTIF(WBS!$H$2:$H$206,"完了")</x:f>
        <x:v>58</x:v>
      </x:c>
      <x:c r="C5" s="71"/>
      <x:c r="D5" s="81" t="str">
        <x:v>現在工程</x:v>
      </x:c>
      <x:c r="E5" s="81" t="str">
        <x:v>新規実装</x:v>
      </x:c>
      <x:c r="F5" s="71"/>
    </x:row>
    <x:row r="6" ht="15" hidden="0" customHeight="1">
      <x:c r="A6" s="80" t="str">
        <x:v>進行中項目数</x:v>
      </x:c>
      <x:c r="B6" s="80" t="n">
        <x:f>COUNTIF(WBS!$H$2:$H$206,"進行中")</x:f>
        <x:v>0</x:v>
      </x:c>
      <x:c r="C6" s="71"/>
      <x:c r="D6" s="81" t="str">
        <x:v>現在Wave</x:v>
      </x:c>
      <x:c r="E6" s="81" t="str">
        <x:v>Wave 0-A（次）</x:v>
      </x:c>
      <x:c r="F6" s="71"/>
    </x:row>
    <x:row r="7" ht="15" hidden="0" customHeight="1">
      <x:c r="A7" s="80" t="str">
        <x:v>未着手項目数</x:v>
      </x:c>
      <x:c r="B7" s="80" t="n">
        <x:f>COUNTIF(WBS!$H$2:$H$206,"未着手")</x:f>
        <x:v>147</x:v>
      </x:c>
      <x:c r="C7" s="71"/>
      <x:c r="D7" s="81" t="str">
        <x:v>基準日</x:v>
      </x:c>
      <x:c r="E7" s="81" t="str">
        <x:v>2026-10-07</x:v>
      </x:c>
      <x:c r="F7" s="71"/>
    </x:row>
    <x:row r="8" ht="15" hidden="0" customHeight="1">
      <x:c r="A8" s="80" t="str">
        <x:v>残り想定作業日数</x:v>
      </x:c>
      <x:c r="B8" s="83" t="n">
        <x:f>SUMIFS(WBS!$K$2:$K$206,WBS!$H$2:$H$206,"&lt;&gt;完了")</x:f>
        <x:v>95.25</x:v>
      </x:c>
      <x:c r="C8" s="71"/>
      <x:c r="D8" s="81" t="str">
        <x:v>Phase 8想定作業日数</x:v>
      </x:c>
      <x:c r="E8" s="84" t="n">
        <x:f>SUMIF(WBS!$B$2:$B$206,"Phase 8",WBS!$K$2:$K$206)</x:f>
        <x:v>58.25</x:v>
      </x:c>
      <x:c r="F8" s="71"/>
    </x:row>
    <x:row r="9" ht="15" hidden="0" customHeight="1">
      <x:c r="A9" s="71"/>
      <x:c r="B9" s="71"/>
      <x:c r="C9" s="71"/>
      <x:c r="D9" s="81" t="str">
        <x:v>見積単位</x:v>
      </x:c>
      <x:c r="E9" s="81" t="str">
        <x:v>1日=4h</x:v>
      </x:c>
      <x:c r="F9" s="71"/>
    </x:row>
    <x:row r="10" ht="15" hidden="0" customHeight="1">
      <x:c r="A10" s="70"/>
      <x:c r="B10" s="70"/>
      <x:c r="C10" s="70"/>
      <x:c r="D10" s="70"/>
      <x:c r="E10" s="70"/>
      <x:c r="F10" s="70"/>
    </x:row>
    <x:row r="11" ht="15" hidden="0" customHeight="1">
      <x:c r="A11" s="78" t="str">
        <x:v>Phase</x:v>
      </x:c>
      <x:c r="B11" s="78" t="str">
        <x:v>工程</x:v>
      </x:c>
      <x:c r="C11" s="78" t="str">
        <x:v>状態</x:v>
      </x:c>
      <x:c r="D11" s="78" t="str">
        <x:v>WBS項目数</x:v>
      </x:c>
      <x:c r="E11" s="78" t="str">
        <x:v>完了数</x:v>
      </x:c>
      <x:c r="F11" s="78" t="str">
        <x:v>想定作業日数</x:v>
      </x:c>
    </x:row>
    <x:row r="12" ht="15" hidden="0" customHeight="1">
      <x:c r="A12" s="82" t="str">
        <x:v>Phase 0</x:v>
      </x:c>
      <x:c r="B12" s="82" t="str">
        <x:v>プロジェクト準備</x:v>
      </x:c>
      <x:c r="C12" s="82" t="str">
        <x:v>完了</x:v>
      </x:c>
      <x:c r="D12" s="82" t="n">
        <x:f>COUNTIF(WBS!$B$2:$B$206,A12)</x:f>
        <x:v>3</x:v>
      </x:c>
      <x:c r="E12" s="82" t="n">
        <x:f>COUNTIFS(WBS!$B$2:$B$206,A12,WBS!$H$2:$H$206,"完了")</x:f>
        <x:v>3</x:v>
      </x:c>
      <x:c r="F12" s="82" t="n">
        <x:f>SUMIF(WBS!$B$2:$B$206,A12,WBS!$K$2:$K$206)</x:f>
        <x:v>0</x:v>
      </x:c>
    </x:row>
    <x:row r="13" ht="15" hidden="0" customHeight="1">
      <x:c r="A13" s="82" t="str">
        <x:v>Phase 1</x:v>
      </x:c>
      <x:c r="B13" s="82" t="str">
        <x:v>開発環境構築</x:v>
      </x:c>
      <x:c r="C13" s="82" t="str">
        <x:v>完了</x:v>
      </x:c>
      <x:c r="D13" s="82" t="n">
        <x:f>COUNTIF(WBS!$B$2:$B$206,A13)</x:f>
        <x:v>9</x:v>
      </x:c>
      <x:c r="E13" s="82" t="n">
        <x:f>COUNTIFS(WBS!$B$2:$B$206,A13,WBS!$H$2:$H$206,"完了")</x:f>
        <x:v>9</x:v>
      </x:c>
      <x:c r="F13" s="82" t="n">
        <x:f>SUMIF(WBS!$B$2:$B$206,A13,WBS!$K$2:$K$206)</x:f>
        <x:v>0</x:v>
      </x:c>
    </x:row>
    <x:row r="14" ht="15" hidden="0" customHeight="1">
      <x:c r="A14" s="82" t="str">
        <x:v>Phase 2</x:v>
      </x:c>
      <x:c r="B14" s="82" t="str">
        <x:v>企画</x:v>
      </x:c>
      <x:c r="C14" s="82" t="str">
        <x:v>完了</x:v>
      </x:c>
      <x:c r="D14" s="82" t="n">
        <x:f>COUNTIF(WBS!$B$2:$B$206,A14)</x:f>
        <x:v>6</x:v>
      </x:c>
      <x:c r="E14" s="82" t="n">
        <x:f>COUNTIFS(WBS!$B$2:$B$206,A14,WBS!$H$2:$H$206,"完了")</x:f>
        <x:v>6</x:v>
      </x:c>
      <x:c r="F14" s="82" t="n">
        <x:f>SUMIF(WBS!$B$2:$B$206,A14,WBS!$K$2:$K$206)</x:f>
        <x:v>0</x:v>
      </x:c>
    </x:row>
    <x:row r="15" ht="15" hidden="0" customHeight="1">
      <x:c r="A15" s="82" t="str">
        <x:v>Phase 3</x:v>
      </x:c>
      <x:c r="B15" s="82" t="str">
        <x:v>要件定義</x:v>
      </x:c>
      <x:c r="C15" s="82" t="str">
        <x:v>完了</x:v>
      </x:c>
      <x:c r="D15" s="82" t="n">
        <x:f>COUNTIF(WBS!$B$2:$B$206,A15)</x:f>
        <x:v>6</x:v>
      </x:c>
      <x:c r="E15" s="82" t="n">
        <x:f>COUNTIFS(WBS!$B$2:$B$206,A15,WBS!$H$2:$H$206,"完了")</x:f>
        <x:v>6</x:v>
      </x:c>
      <x:c r="F15" s="82" t="n">
        <x:f>SUMIF(WBS!$B$2:$B$206,A15,WBS!$K$2:$K$206)</x:f>
        <x:v>0</x:v>
      </x:c>
    </x:row>
    <x:row r="16" ht="15" hidden="0" customHeight="1">
      <x:c r="A16" s="82" t="str">
        <x:v>Phase 4</x:v>
      </x:c>
      <x:c r="B16" s="82" t="str">
        <x:v>システム全体設計</x:v>
      </x:c>
      <x:c r="C16" s="82" t="str">
        <x:v>完了</x:v>
      </x:c>
      <x:c r="D16" s="82" t="n">
        <x:f>COUNTIF(WBS!$B$2:$B$206,A16)</x:f>
        <x:v>6</x:v>
      </x:c>
      <x:c r="E16" s="82" t="n">
        <x:f>COUNTIFS(WBS!$B$2:$B$206,A16,WBS!$H$2:$H$206,"完了")</x:f>
        <x:v>6</x:v>
      </x:c>
      <x:c r="F16" s="82" t="n">
        <x:f>SUMIF(WBS!$B$2:$B$206,A16,WBS!$K$2:$K$206)</x:f>
        <x:v>0</x:v>
      </x:c>
    </x:row>
    <x:row r="17" ht="15" hidden="0" customHeight="1">
      <x:c r="A17" s="82" t="str">
        <x:v>Phase 5</x:v>
      </x:c>
      <x:c r="B17" s="82" t="str">
        <x:v>基本設計</x:v>
      </x:c>
      <x:c r="C17" s="82" t="str">
        <x:v>完了</x:v>
      </x:c>
      <x:c r="D17" s="82" t="n">
        <x:f>COUNTIF(WBS!$B$2:$B$206,A17)</x:f>
        <x:v>7</x:v>
      </x:c>
      <x:c r="E17" s="82" t="n">
        <x:f>COUNTIFS(WBS!$B$2:$B$206,A17,WBS!$H$2:$H$206,"完了")</x:f>
        <x:v>7</x:v>
      </x:c>
      <x:c r="F17" s="82" t="n">
        <x:f>SUMIF(WBS!$B$2:$B$206,A17,WBS!$K$2:$K$206)</x:f>
        <x:v>0</x:v>
      </x:c>
    </x:row>
    <x:row r="18" ht="15" hidden="0" customHeight="1">
      <x:c r="A18" s="82" t="str">
        <x:v>Phase 6</x:v>
      </x:c>
      <x:c r="B18" s="82" t="str">
        <x:v>詳細設計</x:v>
      </x:c>
      <x:c r="C18" s="82" t="str">
        <x:v>完了</x:v>
      </x:c>
      <x:c r="D18" s="82" t="n">
        <x:f>COUNTIF(WBS!$B$2:$B$206,A18)</x:f>
        <x:v>14</x:v>
      </x:c>
      <x:c r="E18" s="82" t="n">
        <x:f>COUNTIFS(WBS!$B$2:$B$206,A18,WBS!$H$2:$H$206,"完了")</x:f>
        <x:v>14</x:v>
      </x:c>
      <x:c r="F18" s="82" t="n">
        <x:f>SUMIF(WBS!$B$2:$B$206,A18,WBS!$K$2:$K$206)</x:f>
        <x:v>0</x:v>
      </x:c>
    </x:row>
    <x:row r="19" ht="15" hidden="0" customHeight="1">
      <x:c r="A19" s="82" t="str">
        <x:v>Phase 7</x:v>
      </x:c>
      <x:c r="B19" s="82" t="str">
        <x:v>実装タスク分解</x:v>
      </x:c>
      <x:c r="C19" s="82" t="str">
        <x:v>完了</x:v>
      </x:c>
      <x:c r="D19" s="82" t="n">
        <x:f>COUNTIF(WBS!$B$2:$B$206,A19)</x:f>
        <x:v>7</x:v>
      </x:c>
      <x:c r="E19" s="82" t="n">
        <x:f>COUNTIFS(WBS!$B$2:$B$206,A19,WBS!$H$2:$H$206,"完了")</x:f>
        <x:v>7</x:v>
      </x:c>
      <x:c r="F19" s="82" t="n">
        <x:f>SUMIF(WBS!$B$2:$B$206,A19,WBS!$K$2:$K$206)</x:f>
        <x:v>3.5</x:v>
      </x:c>
    </x:row>
    <x:row r="20" ht="15" hidden="0" customHeight="1">
      <x:c r="A20" s="82" t="str">
        <x:v>Phase 8</x:v>
      </x:c>
      <x:c r="B20" s="82" t="str">
        <x:v>新規実装</x:v>
      </x:c>
      <x:c r="C20" s="82" t="str">
        <x:v>未着手</x:v>
      </x:c>
      <x:c r="D20" s="82" t="n">
        <x:f>COUNTIF(WBS!$B$2:$B$206,A20)</x:f>
        <x:v>101</x:v>
      </x:c>
      <x:c r="E20" s="82" t="n">
        <x:f>COUNTIFS(WBS!$B$2:$B$206,A20,WBS!$H$2:$H$206,"完了")</x:f>
        <x:v>0</x:v>
      </x:c>
      <x:c r="F20" s="82" t="n">
        <x:f>SUMIF(WBS!$B$2:$B$206,A20,WBS!$K$2:$K$206)</x:f>
        <x:v>58.25</x:v>
      </x:c>
    </x:row>
    <x:row r="21" ht="15" hidden="0" customHeight="1">
      <x:c r="A21" s="82" t="str">
        <x:v>Phase 9</x:v>
      </x:c>
      <x:c r="B21" s="82" t="str">
        <x:v>テスト</x:v>
      </x:c>
      <x:c r="C21" s="82" t="str">
        <x:v>未着手</x:v>
      </x:c>
      <x:c r="D21" s="82" t="n">
        <x:f>COUNTIF(WBS!$B$2:$B$206,A21)</x:f>
        <x:v>11</x:v>
      </x:c>
      <x:c r="E21" s="82" t="n">
        <x:f>COUNTIFS(WBS!$B$2:$B$206,A21,WBS!$H$2:$H$206,"完了")</x:f>
        <x:v>0</x:v>
      </x:c>
      <x:c r="F21" s="82" t="n">
        <x:f>SUMIF(WBS!$B$2:$B$206,A21,WBS!$K$2:$K$206)</x:f>
        <x:v>14.5</x:v>
      </x:c>
    </x:row>
    <x:row r="22" ht="15" hidden="0" customHeight="1">
      <x:c r="A22" s="82" t="str">
        <x:v>Phase 10</x:v>
      </x:c>
      <x:c r="B22" s="82" t="str">
        <x:v>CI/CD</x:v>
      </x:c>
      <x:c r="C22" s="82" t="str">
        <x:v>未着手</x:v>
      </x:c>
      <x:c r="D22" s="82" t="n">
        <x:f>COUNTIF(WBS!$B$2:$B$206,A22)</x:f>
        <x:v>8</x:v>
      </x:c>
      <x:c r="E22" s="82" t="n">
        <x:f>COUNTIFS(WBS!$B$2:$B$206,A22,WBS!$H$2:$H$206,"完了")</x:f>
        <x:v>0</x:v>
      </x:c>
      <x:c r="F22" s="82" t="n">
        <x:f>SUMIF(WBS!$B$2:$B$206,A22,WBS!$K$2:$K$206)</x:f>
        <x:v>4.5</x:v>
      </x:c>
    </x:row>
    <x:row r="23" ht="15" hidden="0" customHeight="1">
      <x:c r="A23" s="82" t="str">
        <x:v>Phase 11</x:v>
      </x:c>
      <x:c r="B23" s="82" t="str">
        <x:v>AWSデプロイ</x:v>
      </x:c>
      <x:c r="C23" s="82" t="str">
        <x:v>未着手</x:v>
      </x:c>
      <x:c r="D23" s="82" t="n">
        <x:f>COUNTIF(WBS!$B$2:$B$206,A23)</x:f>
        <x:v>9</x:v>
      </x:c>
      <x:c r="E23" s="82" t="n">
        <x:f>COUNTIFS(WBS!$B$2:$B$206,A23,WBS!$H$2:$H$206,"完了")</x:f>
        <x:v>0</x:v>
      </x:c>
      <x:c r="F23" s="82" t="n">
        <x:f>SUMIF(WBS!$B$2:$B$206,A23,WBS!$K$2:$K$206)</x:f>
        <x:v>8.5</x:v>
      </x:c>
    </x:row>
    <x:row r="24" ht="15" hidden="0" customHeight="1">
      <x:c r="A24" s="82" t="str">
        <x:v>Phase 12</x:v>
      </x:c>
      <x:c r="B24" s="82" t="str">
        <x:v>MVPリリース</x:v>
      </x:c>
      <x:c r="C24" s="82" t="str">
        <x:v>未着手</x:v>
      </x:c>
      <x:c r="D24" s="82" t="n">
        <x:f>COUNTIF(WBS!$B$2:$B$206,A24)</x:f>
        <x:v>9</x:v>
      </x:c>
      <x:c r="E24" s="82" t="n">
        <x:f>COUNTIFS(WBS!$B$2:$B$206,A24,WBS!$H$2:$H$206,"完了")</x:f>
        <x:v>0</x:v>
      </x:c>
      <x:c r="F24" s="82" t="n">
        <x:f>SUMIF(WBS!$B$2:$B$206,A24,WBS!$K$2:$K$206)</x:f>
        <x:v>4.5</x:v>
      </x:c>
    </x:row>
    <x:row r="25" ht="15" hidden="0" customHeight="1">
      <x:c r="A25" s="82" t="str">
        <x:v>Phase 13</x:v>
      </x:c>
      <x:c r="B25" s="82" t="str">
        <x:v>振り返り</x:v>
      </x:c>
      <x:c r="C25" s="82" t="str">
        <x:v>未着手</x:v>
      </x:c>
      <x:c r="D25" s="82" t="n">
        <x:f>COUNTIF(WBS!$B$2:$B$206,A25)</x:f>
        <x:v>9</x:v>
      </x:c>
      <x:c r="E25" s="82" t="n">
        <x:f>COUNTIFS(WBS!$B$2:$B$206,A25,WBS!$H$2:$H$206,"完了")</x:f>
        <x:v>0</x:v>
      </x:c>
      <x:c r="F25" s="82" t="n">
        <x:f>SUMIF(WBS!$B$2:$B$206,A25,WBS!$K$2:$K$206)</x:f>
        <x:v>5</x:v>
      </x:c>
    </x:row>
    <x:row r="26">
      <x:c r="A26"/>
      <x:c r="B26"/>
      <x:c r="C26"/>
      <x:c r="D26"/>
      <x:c r="E26"/>
      <x:c r="F26"/>
    </x:row>
    <x:row r="27">
      <x:c r="A27"/>
      <x:c r="B27"/>
      <x:c r="C27"/>
      <x:c r="D27"/>
      <x:c r="E27"/>
      <x:c r="F27"/>
    </x:row>
    <x:row r="28">
      <x:c r="A28"/>
      <x:c r="B28"/>
      <x:c r="C28"/>
      <x:c r="D28"/>
      <x:c r="E28"/>
      <x:c r="F28"/>
    </x:row>
    <x:row r="29">
      <x:c r="A29"/>
      <x:c r="B29"/>
      <x:c r="C29"/>
      <x:c r="D29"/>
      <x:c r="E29"/>
      <x:c r="F29"/>
    </x:row>
    <x:row r="30">
      <x:c r="A30"/>
      <x:c r="B30"/>
      <x:c r="C30"/>
      <x:c r="D30"/>
      <x:c r="E30"/>
      <x:c r="F30"/>
    </x:row>
  </x:sheetData>
  <x:mergeCells>
    <x:mergeCell ref="A1:F1"/>
  </x:mergeCells>
  <x:conditionalFormatting sqref="C12:C25">
    <x:cfRule type="expression" dxfId="6" priority="1">
      <x:formula>C12="完了"</x:formula>
    </x:cfRule>
    <x:cfRule type="expression" dxfId="7" priority="2">
      <x:formula>C12="進行中"</x:formula>
    </x:cfRule>
  </x:conditionalFormatting>
  <x:pageMargins left="0.7" right="0.7" top="0.75" bottom="0.75" header="0.3" footer="0.3"/>
  <x:drawing xmlns:r="http://schemas.openxmlformats.org/officeDocument/2006/relationships" r:id="Rad033503110542bc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8" t="str">
        <x:v>状態</x:v>
      </x:c>
      <x:c r="B1" s="8" t="str">
        <x:v>優先度</x:v>
      </x:c>
      <x:c r="C1" s="8" t="str">
        <x:v>担当</x:v>
      </x:c>
      <x:c r="D1" s="8" t="str">
        <x:v>区分</x:v>
      </x:c>
    </x:row>
    <x:row r="2">
      <x:c r="A2" s="9" t="str">
        <x:v>未着手</x:v>
      </x:c>
      <x:c r="B2" s="9" t="str">
        <x:v>High</x:v>
      </x:c>
      <x:c r="C2" s="9" t="str">
        <x:v>PO</x:v>
      </x:c>
      <x:c r="D2" s="9" t="str">
        <x:v>実績</x:v>
      </x:c>
    </x:row>
    <x:row r="3">
      <x:c r="A3" s="9" t="str">
        <x:v>進行中</x:v>
      </x:c>
      <x:c r="B3" s="9" t="str">
        <x:v>Medium</x:v>
      </x:c>
      <x:c r="C3" s="9" t="str">
        <x:v>ChatGPT(PM)</x:v>
      </x:c>
      <x:c r="D3" s="9" t="str">
        <x:v>予定</x:v>
      </x:c>
    </x:row>
    <x:row r="4">
      <x:c r="A4" s="9" t="str">
        <x:v>完了</x:v>
      </x:c>
      <x:c r="B4" s="9" t="str">
        <x:v>Low</x:v>
      </x:c>
      <x:c r="C4" s="9" t="str">
        <x:v>Claude(SE/Reviewer)</x:v>
      </x:c>
      <x:c r="D4" s="9" t="str"/>
    </x:row>
    <x:row r="5">
      <x:c r="A5" s="9" t="str">
        <x:v>保留</x:v>
      </x:c>
      <x:c r="B5" s="9" t="str"/>
      <x:c r="C5" s="9" t="str">
        <x:v>Gemini(Research)</x:v>
      </x:c>
      <x:c r="D5" s="9" t="str"/>
    </x:row>
    <x:row r="6">
      <x:c r="A6" s="9" t="str"/>
      <x:c r="B6" s="9" t="str"/>
      <x:c r="C6" s="9" t="str">
        <x:v>Copilot(Dev)</x:v>
      </x:c>
      <x:c r="D6" s="9" t="str"/>
    </x:row>
    <x:row r="7">
      <x:c r="A7" s="9" t="str"/>
      <x:c r="B7" s="9" t="str"/>
      <x:c r="C7" s="9" t="str">
        <x:v>PO + AI支援</x:v>
      </x:c>
      <x:c r="D7" s="9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20" hidden="0" customWidth="1"/>
    <x:col min="4" max="4" width="10" hidden="0" customWidth="1"/>
    <x:col min="5" max="5" width="14" hidden="0" customWidth="1"/>
    <x:col min="6" max="6" width="14" hidden="0" customWidth="1"/>
    <x:col min="7" max="7" width="44" hidden="0" customWidth="1"/>
    <x:col min="8" max="8" width="12" hidden="0" customWidth="1"/>
  </x:cols>
  <x:sheetData>
    <x:row r="1" ht="16.799999237060547" hidden="0" customHeight="1">
      <x:c r="A1" s="87" t="str">
        <x:v>Phase 8 Wave計画（WBS v0.3）</x:v>
      </x:c>
      <x:c r="B1" s="87"/>
      <x:c r="C1" s="87"/>
      <x:c r="D1" s="87"/>
      <x:c r="E1" s="87"/>
      <x:c r="F1" s="87"/>
      <x:c r="G1" s="87"/>
      <x:c r="H1" s="87"/>
    </x:row>
    <x:row r="2" ht="15" hidden="0" customHeight="1">
      <x:c r="A2" s="67"/>
      <x:c r="B2" s="67"/>
      <x:c r="C2" s="67"/>
      <x:c r="D2" s="67"/>
      <x:c r="E2" s="67"/>
      <x:c r="F2" s="67"/>
      <x:c r="G2" s="67"/>
      <x:c r="H2" s="67"/>
    </x:row>
    <x:row r="3" ht="15" hidden="0" customHeight="1">
      <x:c r="A3" s="90" t="str">
        <x:v>Wave</x:v>
      </x:c>
      <x:c r="B3" s="90" t="str">
        <x:v>目的</x:v>
      </x:c>
      <x:c r="C3" s="90" t="str">
        <x:v>前提</x:v>
      </x:c>
      <x:c r="D3" s="90" t="str">
        <x:v>Task数</x:v>
      </x:c>
      <x:c r="E3" s="90" t="str">
        <x:v>想定作業日数</x:v>
      </x:c>
      <x:c r="F3" s="90" t="str">
        <x:v>Milestone</x:v>
      </x:c>
      <x:c r="G3" s="90" t="str">
        <x:v>実装記録</x:v>
      </x:c>
      <x:c r="H3" s="90" t="str">
        <x:v>状態</x:v>
      </x:c>
    </x:row>
    <x:row r="4" ht="24" hidden="0" customHeight="1">
      <x:c r="A4" s="67" t="str">
        <x:v>Wave 0-A</x:v>
      </x:c>
      <x:c r="B4" s="67" t="str">
        <x:v>Wave 1前の基盤技術確定</x:v>
      </x:c>
      <x:c r="C4" s="67" t="str">
        <x:v>7-7</x:v>
      </x:c>
      <x:c r="D4" s="67" t="n">
        <x:f>COUNTIFS(WBS!$U$2:$U$206,A4,WBS!$V$2:$V$206,"Task")</x:f>
        <x:v>7</x:v>
      </x:c>
      <x:c r="E4" s="91" t="n">
        <x:f>SUMIFS(WBS!$K$2:$K$206,WBS!$U$2:$U$206,A4,WBS!$V$2:$V$206,"Task")</x:f>
        <x:v>2.25</x:v>
      </x:c>
      <x:c r="F4" s="67" t="str">
        <x:v>Wave 1開始条件確定</x:v>
      </x:c>
      <x:c r="G4" s="67" t="str">
        <x:v>docs/development/phase8-wave0a-foundation-decisions.md</x:v>
      </x:c>
      <x:c r="H4" s="67" t="str">
        <x:v>未着手</x:v>
      </x:c>
    </x:row>
    <x:row r="5" ht="15" hidden="0" customHeight="1">
      <x:c r="A5" s="67" t="str">
        <x:v>Wave 1</x:v>
      </x:c>
      <x:c r="B5" s="67" t="str">
        <x:v>DB・共通基盤</x:v>
      </x:c>
      <x:c r="C5" s="67" t="str">
        <x:v>8-M0A</x:v>
      </x:c>
      <x:c r="D5" s="67" t="n">
        <x:f>COUNTIFS(WBS!$U$2:$U$206,A5,WBS!$V$2:$V$206,"Task")</x:f>
        <x:v>7</x:v>
      </x:c>
      <x:c r="E5" s="91" t="n">
        <x:f>SUMIFS(WBS!$K$2:$K$206,WBS!$U$2:$U$206,A5,WBS!$V$2:$V$206,"Task")</x:f>
        <x:v>5</x:v>
      </x:c>
      <x:c r="F5" s="67" t="str">
        <x:v>M1</x:v>
      </x:c>
      <x:c r="G5" s="67" t="str">
        <x:v>docs/development/phase8-wave1-foundation.md</x:v>
      </x:c>
      <x:c r="H5" s="67" t="str">
        <x:v>未着手</x:v>
      </x:c>
    </x:row>
    <x:row r="6" ht="15" hidden="0" customHeight="1">
      <x:c r="A6" s="67" t="str">
        <x:v>Wave 2</x:v>
      </x:c>
      <x:c r="B6" s="67" t="str">
        <x:v>Memo基本機能 E2E</x:v>
      </x:c>
      <x:c r="C6" s="67" t="str">
        <x:v>8-M1</x:v>
      </x:c>
      <x:c r="D6" s="67" t="n">
        <x:f>COUNTIFS(WBS!$U$2:$U$206,A6,WBS!$V$2:$V$206,"Task")</x:f>
        <x:v>10</x:v>
      </x:c>
      <x:c r="E6" s="91" t="n">
        <x:f>SUMIFS(WBS!$K$2:$K$206,WBS!$U$2:$U$206,A6,WBS!$V$2:$V$206,"Task")</x:f>
        <x:v>6</x:v>
      </x:c>
      <x:c r="F6" s="67" t="str">
        <x:v>M2</x:v>
      </x:c>
      <x:c r="G6" s="67" t="str">
        <x:v>docs/development/phase8-wave2-memo.md</x:v>
      </x:c>
      <x:c r="H6" s="67" t="str">
        <x:v>未着手</x:v>
      </x:c>
    </x:row>
    <x:row r="7" ht="15" hidden="0" customHeight="1">
      <x:c r="A7" s="67" t="str">
        <x:v>Wave 3</x:v>
      </x:c>
      <x:c r="B7" s="67" t="str">
        <x:v>Organization基本機能</x:v>
      </x:c>
      <x:c r="C7" s="67" t="str">
        <x:v>8-M1</x:v>
      </x:c>
      <x:c r="D7" s="67" t="n">
        <x:f>COUNTIFS(WBS!$U$2:$U$206,A7,WBS!$V$2:$V$206,"Task")</x:f>
        <x:v>7</x:v>
      </x:c>
      <x:c r="E7" s="91" t="n">
        <x:f>SUMIFS(WBS!$K$2:$K$206,WBS!$U$2:$U$206,A7,WBS!$V$2:$V$206,"Task")</x:f>
        <x:v>5</x:v>
      </x:c>
      <x:c r="F7" s="67" t="str">
        <x:v>M3</x:v>
      </x:c>
      <x:c r="G7" s="67" t="str">
        <x:v>docs/development/phase8-wave3-organization.md</x:v>
      </x:c>
      <x:c r="H7" s="67" t="str">
        <x:v>未着手</x:v>
      </x:c>
    </x:row>
    <x:row r="8" ht="15" hidden="0" customHeight="1">
      <x:c r="A8" s="67" t="str">
        <x:v>Wave 4</x:v>
      </x:c>
      <x:c r="B8" s="67" t="str">
        <x:v>通常CURRENT変更・手動整理</x:v>
      </x:c>
      <x:c r="C8" s="67" t="str">
        <x:v>8-M2,8-M3</x:v>
      </x:c>
      <x:c r="D8" s="67" t="n">
        <x:f>COUNTIFS(WBS!$U$2:$U$206,A8,WBS!$V$2:$V$206,"Task")</x:f>
        <x:v>6</x:v>
      </x:c>
      <x:c r="E8" s="91" t="n">
        <x:f>SUMIFS(WBS!$K$2:$K$206,WBS!$U$2:$U$206,A8,WBS!$V$2:$V$206,"Task")</x:f>
        <x:v>4</x:v>
      </x:c>
      <x:c r="F8" s="67" t="str">
        <x:v>M4</x:v>
      </x:c>
      <x:c r="G8" s="67" t="str">
        <x:v>docs/development/phase8-wave4-current.md</x:v>
      </x:c>
      <x:c r="H8" s="67" t="str">
        <x:v>未着手</x:v>
      </x:c>
    </x:row>
    <x:row r="9" ht="24" hidden="0" customHeight="1">
      <x:c r="A9" s="67" t="str">
        <x:v>Wave 0-B</x:v>
      </x:c>
      <x:c r="B9" s="67" t="str">
        <x:v>AI実装前の技術確定・LLMスパイク</x:v>
      </x:c>
      <x:c r="C9" s="67" t="str">
        <x:v>8-M4</x:v>
      </x:c>
      <x:c r="D9" s="67" t="n">
        <x:f>COUNTIFS(WBS!$U$2:$U$206,A9,WBS!$V$2:$V$206,"Task")</x:f>
        <x:v>7</x:v>
      </x:c>
      <x:c r="E9" s="91" t="n">
        <x:f>SUMIFS(WBS!$K$2:$K$206,WBS!$U$2:$U$206,A9,WBS!$V$2:$V$206,"Task")</x:f>
        <x:v>3</x:v>
      </x:c>
      <x:c r="F9" s="67" t="str">
        <x:v>Wave 5/6開始条件確定</x:v>
      </x:c>
      <x:c r="G9" s="67" t="str">
        <x:v>docs/development/phase8-wave0b-ai-decisions.md</x:v>
      </x:c>
      <x:c r="H9" s="67" t="str">
        <x:v>未着手</x:v>
      </x:c>
    </x:row>
    <x:row r="10" ht="15" hidden="0" customHeight="1">
      <x:c r="A10" s="67" t="str">
        <x:v>Wave 5</x:v>
      </x:c>
      <x:c r="B10" s="67" t="str">
        <x:v>AiProcessService</x:v>
      </x:c>
      <x:c r="C10" s="67" t="str">
        <x:v>8-M0B,8-M1</x:v>
      </x:c>
      <x:c r="D10" s="67" t="n">
        <x:f>COUNTIFS(WBS!$U$2:$U$206,A10,WBS!$V$2:$V$206,"Task")</x:f>
        <x:v>7</x:v>
      </x:c>
      <x:c r="E10" s="91" t="n">
        <x:f>SUMIFS(WBS!$K$2:$K$206,WBS!$U$2:$U$206,A10,WBS!$V$2:$V$206,"Task")</x:f>
        <x:v>5</x:v>
      </x:c>
      <x:c r="F10" s="67" t="str">
        <x:v>—</x:v>
      </x:c>
      <x:c r="G10" s="67" t="str">
        <x:v>docs/development/phase8-wave5-ai-process.md</x:v>
      </x:c>
      <x:c r="H10" s="67" t="str">
        <x:v>未着手</x:v>
      </x:c>
    </x:row>
    <x:row r="11" ht="15" hidden="0" customHeight="1">
      <x:c r="A11" s="67" t="str">
        <x:v>Wave 6-a</x:v>
      </x:c>
      <x:c r="B11" s="67" t="str">
        <x:v>AI Serviceスタブ＋Client疎通</x:v>
      </x:c>
      <x:c r="C11" s="67" t="str">
        <x:v>8-M0B</x:v>
      </x:c>
      <x:c r="D11" s="67" t="n">
        <x:f>COUNTIFS(WBS!$U$2:$U$206,A11,WBS!$V$2:$V$206,"Task")</x:f>
        <x:v>7</x:v>
      </x:c>
      <x:c r="E11" s="91" t="n">
        <x:f>SUMIFS(WBS!$K$2:$K$206,WBS!$U$2:$U$206,A11,WBS!$V$2:$V$206,"Task")</x:f>
        <x:v>3</x:v>
      </x:c>
      <x:c r="F11" s="67" t="str">
        <x:v>M5</x:v>
      </x:c>
      <x:c r="G11" s="67" t="str">
        <x:v>docs/development/phase8-wave6a-ai-service-client.md</x:v>
      </x:c>
      <x:c r="H11" s="67" t="str">
        <x:v>未着手</x:v>
      </x:c>
    </x:row>
    <x:row r="12" ht="15" hidden="0" customHeight="1">
      <x:c r="A12" s="67" t="str">
        <x:v>Wave 6-b</x:v>
      </x:c>
      <x:c r="B12" s="67" t="str">
        <x:v>LLM連携・プロンプト・構造化出力</x:v>
      </x:c>
      <x:c r="C12" s="67" t="str">
        <x:v>8-M5</x:v>
      </x:c>
      <x:c r="D12" s="67" t="n">
        <x:f>COUNTIFS(WBS!$U$2:$U$206,A12,WBS!$V$2:$V$206,"Task")</x:f>
        <x:v>6</x:v>
      </x:c>
      <x:c r="E12" s="91" t="n">
        <x:f>SUMIFS(WBS!$K$2:$K$206,WBS!$U$2:$U$206,A12,WBS!$V$2:$V$206,"Task")</x:f>
        <x:v>4.5</x:v>
      </x:c>
      <x:c r="F12" s="67" t="str">
        <x:v>—</x:v>
      </x:c>
      <x:c r="G12" s="67" t="str">
        <x:v>docs/development/phase8-wave6b-llm.md</x:v>
      </x:c>
      <x:c r="H12" s="67" t="str">
        <x:v>未着手</x:v>
      </x:c>
    </x:row>
    <x:row r="13" ht="15" hidden="0" customHeight="1">
      <x:c r="A13" s="67" t="str">
        <x:v>Wave 7</x:v>
      </x:c>
      <x:c r="B13" s="67" t="str">
        <x:v>AiResultService INITIAL</x:v>
      </x:c>
      <x:c r="C13" s="67" t="str">
        <x:v>8-5-07,8-6A-01</x:v>
      </x:c>
      <x:c r="D13" s="67" t="n">
        <x:f>COUNTIFS(WBS!$U$2:$U$206,A13,WBS!$V$2:$V$206,"Task")</x:f>
        <x:v>7</x:v>
      </x:c>
      <x:c r="E13" s="91" t="n">
        <x:f>SUMIFS(WBS!$K$2:$K$206,WBS!$U$2:$U$206,A13,WBS!$V$2:$V$206,"Task")</x:f>
        <x:v>4.5</x:v>
      </x:c>
      <x:c r="F13" s="67" t="str">
        <x:v>—</x:v>
      </x:c>
      <x:c r="G13" s="67" t="str">
        <x:v>docs/development/phase8-wave7-ai-result-initial.md</x:v>
      </x:c>
      <x:c r="H13" s="67" t="str">
        <x:v>未着手</x:v>
      </x:c>
    </x:row>
    <x:row r="14" ht="15" hidden="0" customHeight="1">
      <x:c r="A14" s="67" t="str">
        <x:v>Wave 8</x:v>
      </x:c>
      <x:c r="B14" s="67" t="str">
        <x:v>AI上位UseCase・INITIAL E2E</x:v>
      </x:c>
      <x:c r="C14" s="67" t="str">
        <x:v>8-5-07,8-M2</x:v>
      </x:c>
      <x:c r="D14" s="67" t="n">
        <x:f>COUNTIFS(WBS!$U$2:$U$206,A14,WBS!$V$2:$V$206,"Task")</x:f>
        <x:v>5</x:v>
      </x:c>
      <x:c r="E14" s="91" t="n">
        <x:f>SUMIFS(WBS!$K$2:$K$206,WBS!$U$2:$U$206,A14,WBS!$V$2:$V$206,"Task")</x:f>
        <x:v>4.5</x:v>
      </x:c>
      <x:c r="F14" s="67" t="str">
        <x:v>M6</x:v>
      </x:c>
      <x:c r="G14" s="67" t="str">
        <x:v>docs/development/phase8-wave8-ai-usecase.md</x:v>
      </x:c>
      <x:c r="H14" s="67" t="str">
        <x:v>未着手</x:v>
      </x:c>
    </x:row>
    <x:row r="15" ht="15" hidden="0" customHeight="1">
      <x:c r="A15" s="67" t="str">
        <x:v>Wave 9</x:v>
      </x:c>
      <x:c r="B15" s="67" t="str">
        <x:v>REORGANIZE</x:v>
      </x:c>
      <x:c r="C15" s="67" t="str">
        <x:v>8-M6,8-5-04,8-5-05</x:v>
      </x:c>
      <x:c r="D15" s="67" t="n">
        <x:f>COUNTIFS(WBS!$U$2:$U$206,A15,WBS!$V$2:$V$206,"Task")</x:f>
        <x:v>5</x:v>
      </x:c>
      <x:c r="E15" s="91" t="n">
        <x:f>SUMIFS(WBS!$K$2:$K$206,WBS!$U$2:$U$206,A15,WBS!$V$2:$V$206,"Task")</x:f>
        <x:v>5.5</x:v>
      </x:c>
      <x:c r="F15" s="67" t="str">
        <x:v>M7</x:v>
      </x:c>
      <x:c r="G15" s="67" t="str">
        <x:v>docs/development/phase8-wave9-reorganize.md</x:v>
      </x:c>
      <x:c r="H15" s="67" t="str">
        <x:v>未着手</x:v>
      </x:c>
    </x:row>
    <x:row r="16" ht="15" hidden="0" customHeight="1">
      <x:c r="A16" s="67" t="str">
        <x:v>Wave 10</x:v>
      </x:c>
      <x:c r="B16" s="67" t="str">
        <x:v>競合・outdated・異常系の横断検証</x:v>
      </x:c>
      <x:c r="C16" s="67" t="str">
        <x:v>8-M7</x:v>
      </x:c>
      <x:c r="D16" s="67" t="n">
        <x:f>COUNTIFS(WBS!$U$2:$U$206,A16,WBS!$V$2:$V$206,"Task")</x:f>
        <x:v>5</x:v>
      </x:c>
      <x:c r="E16" s="91" t="n">
        <x:f>SUMIFS(WBS!$K$2:$K$206,WBS!$U$2:$U$206,A16,WBS!$V$2:$V$206,"Task")</x:f>
        <x:v>3.5</x:v>
      </x:c>
      <x:c r="F16" s="67" t="str">
        <x:v>M8</x:v>
      </x:c>
      <x:c r="G16" s="67" t="str">
        <x:v>docs/development/phase8-wave10-error-concurrency.md</x:v>
      </x:c>
      <x:c r="H16" s="67" t="str">
        <x:v>未着手</x:v>
      </x:c>
    </x:row>
    <x:row r="17" ht="15" hidden="0" customHeight="1">
      <x:c r="A17" s="67" t="str">
        <x:v>Wave 11</x:v>
      </x:c>
      <x:c r="B17" s="67" t="str">
        <x:v>UI横断仕上げ・Phase 9申し送り</x:v>
      </x:c>
      <x:c r="C17" s="67" t="str">
        <x:v>8-M8</x:v>
      </x:c>
      <x:c r="D17" s="67" t="n">
        <x:f>COUNTIFS(WBS!$U$2:$U$206,A17,WBS!$V$2:$V$206,"Task")</x:f>
        <x:v>4</x:v>
      </x:c>
      <x:c r="E17" s="91" t="n">
        <x:f>SUMIFS(WBS!$K$2:$K$206,WBS!$U$2:$U$206,A17,WBS!$V$2:$V$206,"Task")</x:f>
        <x:v>2.5</x:v>
      </x:c>
      <x:c r="F17" s="67" t="str">
        <x:v>M9</x:v>
      </x:c>
      <x:c r="G17" s="67" t="str">
        <x:v>docs/development/phase8-wave11-ui-finalization.md</x:v>
      </x:c>
      <x:c r="H17" s="67" t="str">
        <x:v>未着手</x:v>
      </x:c>
    </x:row>
    <x:row r="18">
      <x:c r="A18" s="67"/>
      <x:c r="B18" s="67"/>
      <x:c r="C18" s="67"/>
      <x:c r="D18" s="67"/>
      <x:c r="E18" s="67"/>
      <x:c r="F18" s="67"/>
      <x:c r="G18" s="67"/>
      <x:c r="H18" s="67"/>
    </x:row>
  </x:sheetData>
  <x:mergeCells>
    <x:mergeCell ref="A1:H1"/>
  </x:mergeCells>
  <x:dataValidations count="1">
    <x:dataValidation type="list" sqref="H4:H17">
      <x:formula1>"未着手,進行中,完了,保留"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33c8302a2e346d3"/>
  </x:tableParts>
</x:worksheet>
</file>